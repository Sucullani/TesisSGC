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recuperados disco c\Desktop\CONSTRUCCION EDIFICIO DE POSGRADO\BALANCE DE OBRA\CONTRATO MODIFICATORIO No.1\"/>
    </mc:Choice>
  </mc:AlternateContent>
  <xr:revisionPtr revIDLastSave="0" documentId="13_ncr:1_{DB85C46F-FBF5-48C5-8D00-18831FE80AB7}" xr6:coauthVersionLast="47" xr6:coauthVersionMax="47" xr10:uidLastSave="{00000000-0000-0000-0000-000000000000}"/>
  <bookViews>
    <workbookView xWindow="-120" yWindow="-120" windowWidth="29040" windowHeight="16440" tabRatio="812" firstSheet="1" activeTab="1" xr2:uid="{00000000-000D-0000-FFFF-FFFF00000000}"/>
  </bookViews>
  <sheets>
    <sheet name="formulario orden de cambio" sheetId="8" state="hidden" r:id="rId1"/>
    <sheet name="P.A.O. N° 3" sheetId="21" r:id="rId2"/>
    <sheet name="COMPUTOS MÉTRICOS" sheetId="19" r:id="rId3"/>
  </sheets>
  <definedNames>
    <definedName name="_Ref102477669" localSheetId="2">'COMPUTOS MÉTRICOS'!#REF!</definedName>
    <definedName name="_Ref83543103" localSheetId="2">#N/A</definedName>
    <definedName name="COSTOE1">#N/A</definedName>
    <definedName name="COSTOE2">#N/A</definedName>
    <definedName name="COSTOE3">#N/A</definedName>
    <definedName name="COSTOE4">#N/A</definedName>
    <definedName name="COSTOE5">#N/A</definedName>
    <definedName name="COSTOE6">#N/A</definedName>
    <definedName name="COSTOM1">#N/A</definedName>
    <definedName name="COSTOM2">#N/A</definedName>
    <definedName name="COSTOM3">#N/A</definedName>
    <definedName name="SDSS" localSheetId="1">#REF!</definedName>
    <definedName name="SDSS">#REF!</definedName>
    <definedName name="ss" localSheetId="1">#REF!</definedName>
    <definedName name="ss">#REF!</definedName>
    <definedName name="_xlnm.Print_Titles" localSheetId="1">'P.A.O. N° 3'!$1:$13</definedName>
    <definedName name="WWW" localSheetId="1">#REF!</definedName>
    <definedName name="WWW">#REF!</definedName>
    <definedName name="XX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2" i="21" l="1"/>
  <c r="E67" i="21"/>
  <c r="U51" i="21"/>
  <c r="F65" i="21"/>
  <c r="Y31" i="21"/>
  <c r="S6" i="21"/>
  <c r="G16" i="21"/>
  <c r="G15" i="21" s="1"/>
  <c r="I16" i="21"/>
  <c r="I15" i="21" s="1"/>
  <c r="K16" i="21"/>
  <c r="K15" i="21" s="1"/>
  <c r="M16" i="21"/>
  <c r="M15" i="21" s="1"/>
  <c r="O16" i="21"/>
  <c r="Q16" i="21"/>
  <c r="S16" i="21"/>
  <c r="T16" i="21"/>
  <c r="U16" i="21" s="1"/>
  <c r="B17" i="21"/>
  <c r="G17" i="21"/>
  <c r="I17" i="21"/>
  <c r="K17" i="21"/>
  <c r="M17" i="21"/>
  <c r="O17" i="21"/>
  <c r="Q17" i="21"/>
  <c r="S17" i="21"/>
  <c r="T17" i="21"/>
  <c r="V17" i="21" s="1"/>
  <c r="U17" i="21"/>
  <c r="B18" i="21"/>
  <c r="B19" i="21" s="1"/>
  <c r="B20" i="21" s="1"/>
  <c r="B21" i="21" s="1"/>
  <c r="B22" i="21" s="1"/>
  <c r="B23" i="21" s="1"/>
  <c r="B24" i="21" s="1"/>
  <c r="B25" i="21" s="1"/>
  <c r="B26" i="21" s="1"/>
  <c r="B27" i="21" s="1"/>
  <c r="B28" i="21" s="1"/>
  <c r="B29" i="21" s="1"/>
  <c r="B30" i="21" s="1"/>
  <c r="B31" i="21" s="1"/>
  <c r="G18" i="21"/>
  <c r="I18" i="21"/>
  <c r="K18" i="21"/>
  <c r="M18" i="21"/>
  <c r="O18" i="21"/>
  <c r="Q18" i="21"/>
  <c r="S18" i="21"/>
  <c r="T18" i="21"/>
  <c r="U18" i="21" s="1"/>
  <c r="G19" i="21"/>
  <c r="O19" i="21"/>
  <c r="Q19" i="21"/>
  <c r="S19" i="21"/>
  <c r="T19" i="21"/>
  <c r="V19" i="21" s="1"/>
  <c r="G20" i="21"/>
  <c r="O20" i="21"/>
  <c r="O15" i="21" s="1"/>
  <c r="Q20" i="21"/>
  <c r="S20" i="21"/>
  <c r="T20" i="21"/>
  <c r="U20" i="21" s="1"/>
  <c r="V20" i="21"/>
  <c r="G21" i="21"/>
  <c r="O21" i="21"/>
  <c r="Q21" i="21"/>
  <c r="S21" i="21"/>
  <c r="T21" i="21"/>
  <c r="U21" i="21" s="1"/>
  <c r="W21" i="21"/>
  <c r="X21" i="21" s="1"/>
  <c r="Y21" i="21" s="1"/>
  <c r="G22" i="21"/>
  <c r="O22" i="21"/>
  <c r="Q22" i="21"/>
  <c r="S22" i="21"/>
  <c r="T22" i="21"/>
  <c r="U22" i="21" s="1"/>
  <c r="G23" i="21"/>
  <c r="O23" i="21"/>
  <c r="Q23" i="21"/>
  <c r="S23" i="21"/>
  <c r="T23" i="21"/>
  <c r="W23" i="21" s="1"/>
  <c r="X23" i="21" s="1"/>
  <c r="Y23" i="21" s="1"/>
  <c r="G24" i="21"/>
  <c r="O24" i="21"/>
  <c r="Q24" i="21"/>
  <c r="S24" i="21"/>
  <c r="T24" i="21"/>
  <c r="V24" i="21" s="1"/>
  <c r="U24" i="21"/>
  <c r="G25" i="21"/>
  <c r="O25" i="21"/>
  <c r="Q25" i="21"/>
  <c r="S25" i="21"/>
  <c r="T25" i="21"/>
  <c r="W25" i="21" s="1"/>
  <c r="X25" i="21" s="1"/>
  <c r="Y25" i="21" s="1"/>
  <c r="G26" i="21"/>
  <c r="O26" i="21"/>
  <c r="Q26" i="21"/>
  <c r="S26" i="21"/>
  <c r="T26" i="21"/>
  <c r="V26" i="21" s="1"/>
  <c r="G27" i="21"/>
  <c r="O27" i="21"/>
  <c r="Q27" i="21"/>
  <c r="S27" i="21"/>
  <c r="T27" i="21"/>
  <c r="V27" i="21" s="1"/>
  <c r="G28" i="21"/>
  <c r="O28" i="21"/>
  <c r="Q28" i="21"/>
  <c r="S28" i="21"/>
  <c r="T28" i="21"/>
  <c r="U28" i="21" s="1"/>
  <c r="G29" i="21"/>
  <c r="O29" i="21"/>
  <c r="Q29" i="21"/>
  <c r="S29" i="21"/>
  <c r="T29" i="21"/>
  <c r="U29" i="21" s="1"/>
  <c r="G30" i="21"/>
  <c r="O30" i="21"/>
  <c r="Q30" i="21"/>
  <c r="S30" i="21"/>
  <c r="T30" i="21"/>
  <c r="U30" i="21" s="1"/>
  <c r="V30" i="21"/>
  <c r="G31" i="21"/>
  <c r="O31" i="21"/>
  <c r="Q31" i="21"/>
  <c r="S31" i="21"/>
  <c r="T31" i="21"/>
  <c r="U31" i="21" s="1"/>
  <c r="G33" i="21"/>
  <c r="I33" i="21"/>
  <c r="K33" i="21"/>
  <c r="K32" i="21" s="1"/>
  <c r="M33" i="21"/>
  <c r="M32" i="21" s="1"/>
  <c r="O33" i="21"/>
  <c r="O32" i="21" s="1"/>
  <c r="Q33" i="21"/>
  <c r="Q32" i="21" s="1"/>
  <c r="S33" i="21"/>
  <c r="S32" i="21" s="1"/>
  <c r="T33" i="21"/>
  <c r="W33" i="21" s="1"/>
  <c r="X33" i="21" s="1"/>
  <c r="B34" i="21"/>
  <c r="B35" i="21" s="1"/>
  <c r="B36" i="21" s="1"/>
  <c r="B37" i="21" s="1"/>
  <c r="G34" i="21"/>
  <c r="G32" i="21" s="1"/>
  <c r="I34" i="21"/>
  <c r="I32" i="21" s="1"/>
  <c r="K34" i="21"/>
  <c r="M34" i="21"/>
  <c r="O34" i="21"/>
  <c r="Q34" i="21"/>
  <c r="S34" i="21"/>
  <c r="T34" i="21"/>
  <c r="V34" i="21" s="1"/>
  <c r="U34" i="21"/>
  <c r="G35" i="21"/>
  <c r="I35" i="21"/>
  <c r="K35" i="21"/>
  <c r="M35" i="21"/>
  <c r="O35" i="21"/>
  <c r="Q35" i="21"/>
  <c r="S35" i="21"/>
  <c r="T35" i="21"/>
  <c r="U35" i="21" s="1"/>
  <c r="V35" i="21"/>
  <c r="W35" i="21"/>
  <c r="X35" i="21" s="1"/>
  <c r="Y35" i="21" s="1"/>
  <c r="G36" i="21"/>
  <c r="I36" i="21"/>
  <c r="K36" i="21"/>
  <c r="M36" i="21"/>
  <c r="O36" i="21"/>
  <c r="Y36" i="21" s="1"/>
  <c r="Q36" i="21"/>
  <c r="S36" i="21"/>
  <c r="T36" i="21"/>
  <c r="U36" i="21"/>
  <c r="V36" i="21"/>
  <c r="W36" i="21"/>
  <c r="X36" i="21"/>
  <c r="G37" i="21"/>
  <c r="I37" i="21"/>
  <c r="K37" i="21"/>
  <c r="M37" i="21"/>
  <c r="O37" i="21"/>
  <c r="Q37" i="21"/>
  <c r="S37" i="21"/>
  <c r="T37" i="21"/>
  <c r="W37" i="21" s="1"/>
  <c r="X37" i="21" s="1"/>
  <c r="Y37" i="21" s="1"/>
  <c r="G39" i="21"/>
  <c r="I39" i="21"/>
  <c r="K39" i="21"/>
  <c r="M39" i="21"/>
  <c r="M38" i="21" s="1"/>
  <c r="O39" i="21"/>
  <c r="O38" i="21" s="1"/>
  <c r="Q39" i="21"/>
  <c r="Q38" i="21" s="1"/>
  <c r="S39" i="21"/>
  <c r="S38" i="21" s="1"/>
  <c r="T39" i="21"/>
  <c r="U39" i="21" s="1"/>
  <c r="B40" i="21"/>
  <c r="G40" i="21"/>
  <c r="G38" i="21" s="1"/>
  <c r="I40" i="21"/>
  <c r="I38" i="21" s="1"/>
  <c r="K40" i="21"/>
  <c r="K38" i="21" s="1"/>
  <c r="M40" i="21"/>
  <c r="O40" i="21"/>
  <c r="Q40" i="21"/>
  <c r="S40" i="21"/>
  <c r="T40" i="21"/>
  <c r="U40" i="21"/>
  <c r="V40" i="21"/>
  <c r="W40" i="21"/>
  <c r="X40" i="21" s="1"/>
  <c r="Y40" i="21" s="1"/>
  <c r="B41" i="21"/>
  <c r="G41" i="21"/>
  <c r="I41" i="21"/>
  <c r="K41" i="21"/>
  <c r="M41" i="21"/>
  <c r="O41" i="21"/>
  <c r="Q41" i="21"/>
  <c r="S41" i="21"/>
  <c r="T41" i="21"/>
  <c r="U41" i="21"/>
  <c r="V41" i="21"/>
  <c r="W41" i="21"/>
  <c r="X41" i="21"/>
  <c r="B42" i="21"/>
  <c r="G42" i="21"/>
  <c r="I42" i="21"/>
  <c r="K42" i="21"/>
  <c r="M42" i="21"/>
  <c r="O42" i="21"/>
  <c r="Q42" i="21"/>
  <c r="S42" i="21"/>
  <c r="T42" i="21"/>
  <c r="W42" i="21" s="1"/>
  <c r="X42" i="21" s="1"/>
  <c r="Y42" i="21" s="1"/>
  <c r="B43" i="21"/>
  <c r="B44" i="21" s="1"/>
  <c r="G43" i="21"/>
  <c r="I43" i="21"/>
  <c r="K43" i="21"/>
  <c r="M43" i="21"/>
  <c r="O43" i="21"/>
  <c r="Q43" i="21"/>
  <c r="S43" i="21"/>
  <c r="T43" i="21"/>
  <c r="V43" i="21" s="1"/>
  <c r="U43" i="21"/>
  <c r="G44" i="21"/>
  <c r="I44" i="21"/>
  <c r="K44" i="21"/>
  <c r="M44" i="21"/>
  <c r="O44" i="21"/>
  <c r="Q44" i="21"/>
  <c r="S44" i="21"/>
  <c r="T44" i="21"/>
  <c r="U44" i="21" s="1"/>
  <c r="V44" i="21"/>
  <c r="W44" i="21"/>
  <c r="X44" i="21" s="1"/>
  <c r="Y44" i="21" s="1"/>
  <c r="G46" i="21"/>
  <c r="O47" i="21"/>
  <c r="O46" i="21" s="1"/>
  <c r="Q47" i="21"/>
  <c r="S47" i="21"/>
  <c r="T47" i="21"/>
  <c r="U47" i="21" s="1"/>
  <c r="W47" i="21"/>
  <c r="X47" i="21" s="1"/>
  <c r="B48" i="21"/>
  <c r="O48" i="21"/>
  <c r="Q48" i="21"/>
  <c r="S48" i="21"/>
  <c r="T48" i="21"/>
  <c r="V48" i="21" s="1"/>
  <c r="B49" i="21"/>
  <c r="O49" i="21"/>
  <c r="Q49" i="21"/>
  <c r="S49" i="21"/>
  <c r="T49" i="21"/>
  <c r="W49" i="21" s="1"/>
  <c r="X49" i="21" s="1"/>
  <c r="Y49" i="21" s="1"/>
  <c r="B50" i="21"/>
  <c r="O50" i="21"/>
  <c r="Q50" i="21"/>
  <c r="S50" i="21"/>
  <c r="T50" i="21"/>
  <c r="U50" i="21" s="1"/>
  <c r="V50" i="21"/>
  <c r="I51" i="21"/>
  <c r="K51" i="21"/>
  <c r="M51" i="21"/>
  <c r="G54" i="21"/>
  <c r="G55" i="21"/>
  <c r="G56" i="21"/>
  <c r="G57" i="21"/>
  <c r="F64" i="21" s="1"/>
  <c r="O67" i="21"/>
  <c r="W26" i="21" l="1"/>
  <c r="X26" i="21" s="1"/>
  <c r="Y26" i="21" s="1"/>
  <c r="V47" i="21"/>
  <c r="S46" i="21"/>
  <c r="U48" i="21"/>
  <c r="Q46" i="21"/>
  <c r="W50" i="21"/>
  <c r="X50" i="21" s="1"/>
  <c r="Y50" i="21" s="1"/>
  <c r="W31" i="21"/>
  <c r="X31" i="21" s="1"/>
  <c r="V31" i="21"/>
  <c r="W24" i="21"/>
  <c r="X24" i="21" s="1"/>
  <c r="Y24" i="21" s="1"/>
  <c r="V23" i="21"/>
  <c r="U19" i="21"/>
  <c r="S15" i="21"/>
  <c r="W20" i="21"/>
  <c r="X20" i="21" s="1"/>
  <c r="Y20" i="21" s="1"/>
  <c r="Q15" i="21"/>
  <c r="Q51" i="21" s="1"/>
  <c r="P11" i="21" s="1"/>
  <c r="W28" i="21"/>
  <c r="X28" i="21" s="1"/>
  <c r="Y28" i="21" s="1"/>
  <c r="U27" i="21"/>
  <c r="U26" i="21"/>
  <c r="V21" i="21"/>
  <c r="W29" i="21"/>
  <c r="X29" i="21" s="1"/>
  <c r="Y29" i="21" s="1"/>
  <c r="V28" i="21"/>
  <c r="W16" i="21"/>
  <c r="X16" i="21" s="1"/>
  <c r="Y16" i="21" s="1"/>
  <c r="V29" i="21"/>
  <c r="V16" i="21"/>
  <c r="U23" i="21"/>
  <c r="W18" i="21"/>
  <c r="X18" i="21" s="1"/>
  <c r="Y47" i="21"/>
  <c r="H54" i="21"/>
  <c r="Y33" i="21"/>
  <c r="G51" i="21"/>
  <c r="N9" i="21" s="1"/>
  <c r="O51" i="21"/>
  <c r="V49" i="21"/>
  <c r="V42" i="21"/>
  <c r="W39" i="21"/>
  <c r="X39" i="21" s="1"/>
  <c r="V37" i="21"/>
  <c r="V33" i="21"/>
  <c r="W30" i="21"/>
  <c r="X30" i="21" s="1"/>
  <c r="V25" i="21"/>
  <c r="W22" i="21"/>
  <c r="X22" i="21" s="1"/>
  <c r="Y22" i="21" s="1"/>
  <c r="U49" i="21"/>
  <c r="U46" i="21" s="1"/>
  <c r="W48" i="21"/>
  <c r="X48" i="21" s="1"/>
  <c r="Y48" i="21" s="1"/>
  <c r="W43" i="21"/>
  <c r="X43" i="21" s="1"/>
  <c r="Y43" i="21" s="1"/>
  <c r="U42" i="21"/>
  <c r="U38" i="21" s="1"/>
  <c r="V39" i="21"/>
  <c r="U37" i="21"/>
  <c r="W34" i="21"/>
  <c r="X34" i="21" s="1"/>
  <c r="Y34" i="21" s="1"/>
  <c r="U33" i="21"/>
  <c r="U32" i="21" s="1"/>
  <c r="W27" i="21"/>
  <c r="X27" i="21" s="1"/>
  <c r="Y27" i="21" s="1"/>
  <c r="U25" i="21"/>
  <c r="V22" i="21"/>
  <c r="W19" i="21"/>
  <c r="X19" i="21" s="1"/>
  <c r="Y19" i="21" s="1"/>
  <c r="W17" i="21"/>
  <c r="X17" i="21" s="1"/>
  <c r="Y17" i="21" s="1"/>
  <c r="H57" i="21"/>
  <c r="V18" i="21"/>
  <c r="U15" i="21" l="1"/>
  <c r="S51" i="21"/>
  <c r="Y39" i="21"/>
  <c r="X38" i="21"/>
  <c r="Y38" i="21" s="1"/>
  <c r="F61" i="21"/>
  <c r="H56" i="21"/>
  <c r="H55" i="21"/>
  <c r="F60" i="21"/>
  <c r="X15" i="21"/>
  <c r="X46" i="21"/>
  <c r="Y46" i="21" s="1"/>
  <c r="X32" i="21"/>
  <c r="Y32" i="21" s="1"/>
  <c r="R11" i="21" l="1"/>
  <c r="F63" i="21" s="1"/>
  <c r="X51" i="21"/>
  <c r="T11" i="21"/>
  <c r="F66" i="21"/>
  <c r="G856" i="19" l="1"/>
  <c r="G855" i="19"/>
  <c r="G854" i="19"/>
  <c r="G853" i="19"/>
  <c r="G852" i="19"/>
  <c r="G851" i="19"/>
  <c r="G850" i="19"/>
  <c r="G849" i="19"/>
  <c r="G848" i="19"/>
  <c r="G847" i="19"/>
  <c r="G846" i="19"/>
  <c r="G845" i="19"/>
  <c r="G844" i="19"/>
  <c r="G843" i="19"/>
  <c r="G842" i="19"/>
  <c r="G841" i="19"/>
  <c r="G840" i="19"/>
  <c r="G839" i="19"/>
  <c r="G838" i="19"/>
  <c r="G837" i="19"/>
  <c r="G836" i="19"/>
  <c r="G835" i="19"/>
  <c r="G833" i="19"/>
  <c r="G832" i="19"/>
  <c r="G831" i="19"/>
  <c r="G830" i="19"/>
  <c r="G829" i="19"/>
  <c r="G828" i="19"/>
  <c r="G827" i="19"/>
  <c r="G826" i="19"/>
  <c r="G825" i="19"/>
  <c r="G824" i="19"/>
  <c r="G823" i="19"/>
  <c r="G822" i="19"/>
  <c r="G821" i="19"/>
  <c r="G820" i="19"/>
  <c r="G819" i="19"/>
  <c r="G818" i="19"/>
  <c r="G817" i="19"/>
  <c r="G801" i="19"/>
  <c r="G800" i="19"/>
  <c r="G799" i="19"/>
  <c r="G798" i="19"/>
  <c r="G797" i="19"/>
  <c r="G796" i="19"/>
  <c r="G795" i="19"/>
  <c r="G793" i="19"/>
  <c r="G792" i="19"/>
  <c r="G791" i="19"/>
  <c r="G790" i="19"/>
  <c r="G789" i="19"/>
  <c r="G788" i="19"/>
  <c r="G787" i="19"/>
  <c r="G786" i="19"/>
  <c r="G785" i="19"/>
  <c r="G784" i="19"/>
  <c r="G783" i="19"/>
  <c r="G782" i="19"/>
  <c r="G781" i="19"/>
  <c r="G780" i="19"/>
  <c r="G779" i="19"/>
  <c r="G778" i="19"/>
  <c r="G777" i="19"/>
  <c r="G776" i="19"/>
  <c r="G775" i="19"/>
  <c r="G774" i="19"/>
  <c r="G773" i="19"/>
  <c r="G772" i="19"/>
  <c r="G771" i="19"/>
  <c r="G770" i="19"/>
  <c r="G769" i="19"/>
  <c r="G768" i="19"/>
  <c r="G767" i="19"/>
  <c r="G766" i="19"/>
  <c r="G765" i="19"/>
  <c r="G764" i="19"/>
  <c r="G763" i="19"/>
  <c r="G762" i="19"/>
  <c r="G761" i="19"/>
  <c r="G760" i="19"/>
  <c r="G834" i="19"/>
  <c r="H476" i="19" l="1"/>
  <c r="H475" i="19"/>
  <c r="H474" i="19"/>
  <c r="H473" i="19"/>
  <c r="H472" i="19"/>
  <c r="H471" i="19"/>
  <c r="H470" i="19"/>
  <c r="H469" i="19"/>
  <c r="H467" i="19"/>
  <c r="H468" i="19"/>
  <c r="H466" i="19"/>
  <c r="H465" i="19"/>
  <c r="H464" i="19"/>
  <c r="H463" i="19"/>
  <c r="H462" i="19"/>
  <c r="H461" i="19"/>
  <c r="H457" i="19"/>
  <c r="H456" i="19"/>
  <c r="H455" i="19"/>
  <c r="H454" i="19"/>
  <c r="H453" i="19"/>
  <c r="H452" i="19"/>
  <c r="H451" i="19"/>
  <c r="H450" i="19"/>
  <c r="H449" i="19"/>
  <c r="H448" i="19"/>
  <c r="H447" i="19"/>
  <c r="H446" i="19"/>
  <c r="H445" i="19"/>
  <c r="H444" i="19"/>
  <c r="H443" i="19"/>
  <c r="H442" i="19"/>
  <c r="H441" i="19"/>
  <c r="H440" i="19"/>
  <c r="H439" i="19"/>
  <c r="H438" i="19"/>
  <c r="H437" i="19"/>
  <c r="H436" i="19"/>
  <c r="H419" i="19"/>
  <c r="H418" i="19"/>
  <c r="H417" i="19"/>
  <c r="H416" i="19"/>
  <c r="H415" i="19"/>
  <c r="H406" i="19"/>
  <c r="H414" i="19" l="1"/>
  <c r="H413" i="19"/>
  <c r="H412" i="19"/>
  <c r="H411" i="19"/>
  <c r="H410" i="19"/>
  <c r="H409" i="19"/>
  <c r="H408" i="19"/>
  <c r="H407" i="19"/>
  <c r="H377" i="19" l="1"/>
  <c r="H506" i="19" l="1"/>
  <c r="H1030" i="19"/>
  <c r="I1070" i="19"/>
  <c r="H1275" i="19"/>
  <c r="H1274" i="19"/>
  <c r="H1273" i="19"/>
  <c r="H1272" i="19"/>
  <c r="H1271" i="19"/>
  <c r="H1270" i="19"/>
  <c r="H1269" i="19"/>
  <c r="H1268" i="19"/>
  <c r="H1267" i="19"/>
  <c r="H1266" i="19"/>
  <c r="H1265" i="19"/>
  <c r="K1262" i="19"/>
  <c r="G1261" i="19"/>
  <c r="H1261" i="19" s="1"/>
  <c r="G1260" i="19"/>
  <c r="F1260" i="19"/>
  <c r="E1260" i="19"/>
  <c r="G1258" i="19"/>
  <c r="H1258" i="19" s="1"/>
  <c r="G1257" i="19"/>
  <c r="F1257" i="19"/>
  <c r="E1257" i="19"/>
  <c r="G1255" i="19"/>
  <c r="H1255" i="19" s="1"/>
  <c r="G1254" i="19"/>
  <c r="F1254" i="19"/>
  <c r="E1254" i="19"/>
  <c r="G1252" i="19"/>
  <c r="H1252" i="19" s="1"/>
  <c r="G1251" i="19"/>
  <c r="F1251" i="19"/>
  <c r="E1251" i="19"/>
  <c r="G1233" i="19"/>
  <c r="H1233" i="19" s="1"/>
  <c r="G1232" i="19"/>
  <c r="F1232" i="19"/>
  <c r="E1232" i="19"/>
  <c r="G1230" i="19"/>
  <c r="H1230" i="19" s="1"/>
  <c r="G1229" i="19"/>
  <c r="F1229" i="19"/>
  <c r="E1229" i="19"/>
  <c r="G1227" i="19"/>
  <c r="H1227" i="19" s="1"/>
  <c r="G1226" i="19"/>
  <c r="F1226" i="19"/>
  <c r="E1226" i="19"/>
  <c r="G1224" i="19"/>
  <c r="H1224" i="19" s="1"/>
  <c r="G1223" i="19"/>
  <c r="F1223" i="19"/>
  <c r="E1223" i="19"/>
  <c r="G1221" i="19"/>
  <c r="H1221" i="19" s="1"/>
  <c r="G1220" i="19"/>
  <c r="F1220" i="19"/>
  <c r="E1220" i="19"/>
  <c r="G1218" i="19"/>
  <c r="H1218" i="19" s="1"/>
  <c r="G1217" i="19"/>
  <c r="F1217" i="19"/>
  <c r="E1217" i="19"/>
  <c r="G1215" i="19"/>
  <c r="H1215" i="19" s="1"/>
  <c r="G1214" i="19"/>
  <c r="F1214" i="19"/>
  <c r="E1214" i="19"/>
  <c r="G1212" i="19"/>
  <c r="H1212" i="19" s="1"/>
  <c r="G1211" i="19"/>
  <c r="F1211" i="19"/>
  <c r="E1211" i="19"/>
  <c r="G1209" i="19"/>
  <c r="H1209" i="19" s="1"/>
  <c r="G1208" i="19"/>
  <c r="F1208" i="19"/>
  <c r="E1208" i="19"/>
  <c r="H1205" i="19"/>
  <c r="H1204" i="19"/>
  <c r="H1203" i="19"/>
  <c r="H1202" i="19"/>
  <c r="H1201" i="19"/>
  <c r="H1200" i="19"/>
  <c r="H1199" i="19"/>
  <c r="H1198" i="19"/>
  <c r="H1197" i="19"/>
  <c r="H1196" i="19"/>
  <c r="H1195" i="19"/>
  <c r="H1194" i="19"/>
  <c r="H1193" i="19"/>
  <c r="H1192" i="19"/>
  <c r="H1191" i="19"/>
  <c r="H1190" i="19"/>
  <c r="H1175" i="19"/>
  <c r="H1174" i="19"/>
  <c r="H1173" i="19"/>
  <c r="H1172" i="19"/>
  <c r="H1171" i="19"/>
  <c r="H1170" i="19"/>
  <c r="H1169" i="19"/>
  <c r="H1168" i="19"/>
  <c r="H1167" i="19"/>
  <c r="H1166" i="19"/>
  <c r="H1165" i="19"/>
  <c r="H1164" i="19"/>
  <c r="H1163" i="19"/>
  <c r="H1162" i="19"/>
  <c r="H1161" i="19"/>
  <c r="H1160" i="19"/>
  <c r="H1159" i="19"/>
  <c r="H1158" i="19"/>
  <c r="H1157" i="19"/>
  <c r="H1156" i="19"/>
  <c r="H1155" i="19"/>
  <c r="H1154" i="19"/>
  <c r="H1153" i="19"/>
  <c r="H1152" i="19"/>
  <c r="H1151" i="19"/>
  <c r="H1150" i="19"/>
  <c r="H1149" i="19"/>
  <c r="H1148" i="19"/>
  <c r="H1147" i="19"/>
  <c r="H1146" i="19"/>
  <c r="H1145" i="19"/>
  <c r="H1144" i="19"/>
  <c r="K1139" i="19"/>
  <c r="H1120" i="19"/>
  <c r="H1119" i="19"/>
  <c r="H1118" i="19"/>
  <c r="H1117" i="19"/>
  <c r="H1116" i="19"/>
  <c r="H1115" i="19"/>
  <c r="H1114" i="19"/>
  <c r="H1113" i="19"/>
  <c r="H1112" i="19"/>
  <c r="I1088" i="19"/>
  <c r="I1087" i="19"/>
  <c r="I1086" i="19"/>
  <c r="I1085" i="19"/>
  <c r="I1084" i="19"/>
  <c r="I1083" i="19"/>
  <c r="I1082" i="19"/>
  <c r="I1081" i="19"/>
  <c r="I1080" i="19"/>
  <c r="I1079" i="19"/>
  <c r="I1078" i="19"/>
  <c r="I1077" i="19"/>
  <c r="I1076" i="19"/>
  <c r="I1075" i="19"/>
  <c r="I1074" i="19"/>
  <c r="I1073" i="19"/>
  <c r="I1072" i="19"/>
  <c r="I1071" i="19"/>
  <c r="I1069" i="19"/>
  <c r="I1068" i="19"/>
  <c r="I1067" i="19"/>
  <c r="I1066" i="19"/>
  <c r="I1065" i="19"/>
  <c r="I1064" i="19"/>
  <c r="I1063" i="19"/>
  <c r="I1062" i="19"/>
  <c r="I1061" i="19"/>
  <c r="I1060" i="19"/>
  <c r="I1059" i="19"/>
  <c r="I1058" i="19"/>
  <c r="I1057" i="19"/>
  <c r="I1056" i="19"/>
  <c r="I1055" i="19"/>
  <c r="I1054" i="19"/>
  <c r="I1053" i="19"/>
  <c r="I1037" i="19"/>
  <c r="I1036" i="19"/>
  <c r="I1035" i="19"/>
  <c r="I1034" i="19"/>
  <c r="I1033" i="19"/>
  <c r="K1031" i="19" s="1"/>
  <c r="H1029" i="19"/>
  <c r="G1028" i="19"/>
  <c r="H1028" i="19" s="1"/>
  <c r="H1027" i="19"/>
  <c r="H1026" i="19"/>
  <c r="H1025" i="19"/>
  <c r="H1024" i="19"/>
  <c r="H1023" i="19"/>
  <c r="H1022" i="19"/>
  <c r="H1021" i="19"/>
  <c r="H1020" i="19"/>
  <c r="H1019" i="19"/>
  <c r="H1018" i="19"/>
  <c r="H1017" i="19"/>
  <c r="H1016" i="19"/>
  <c r="H1015" i="19"/>
  <c r="H1014" i="19"/>
  <c r="H1013" i="19"/>
  <c r="H1012" i="19"/>
  <c r="H1011" i="19"/>
  <c r="H1010" i="19"/>
  <c r="H1009" i="19"/>
  <c r="H1008" i="19"/>
  <c r="H1007" i="19"/>
  <c r="H1006" i="19"/>
  <c r="H1005" i="19"/>
  <c r="H1004" i="19"/>
  <c r="H1003" i="19"/>
  <c r="H1002" i="19"/>
  <c r="H1001" i="19"/>
  <c r="H1000" i="19"/>
  <c r="H999" i="19"/>
  <c r="H998" i="19"/>
  <c r="H997" i="19"/>
  <c r="H996" i="19"/>
  <c r="H995" i="19"/>
  <c r="H994" i="19"/>
  <c r="H978" i="19"/>
  <c r="H977" i="19"/>
  <c r="H976" i="19"/>
  <c r="H975" i="19"/>
  <c r="H974" i="19"/>
  <c r="H973" i="19"/>
  <c r="H972" i="19"/>
  <c r="H971" i="19"/>
  <c r="H970" i="19"/>
  <c r="H969" i="19"/>
  <c r="H968" i="19"/>
  <c r="H967" i="19"/>
  <c r="H966" i="19"/>
  <c r="H965" i="19"/>
  <c r="H964" i="19"/>
  <c r="H963" i="19"/>
  <c r="H962" i="19"/>
  <c r="H961" i="19"/>
  <c r="H960" i="19"/>
  <c r="H959" i="19"/>
  <c r="H958" i="19"/>
  <c r="H957" i="19"/>
  <c r="H956" i="19"/>
  <c r="H955" i="19"/>
  <c r="H954" i="19"/>
  <c r="H953" i="19"/>
  <c r="H952" i="19"/>
  <c r="H951" i="19"/>
  <c r="H950" i="19"/>
  <c r="H949" i="19"/>
  <c r="H948" i="19"/>
  <c r="H947" i="19"/>
  <c r="H946" i="19"/>
  <c r="H945" i="19"/>
  <c r="H944" i="19"/>
  <c r="H943" i="19"/>
  <c r="H942" i="19"/>
  <c r="H941" i="19"/>
  <c r="H940" i="19"/>
  <c r="H939" i="19"/>
  <c r="H938" i="19"/>
  <c r="H937" i="19"/>
  <c r="H936" i="19"/>
  <c r="H935" i="19"/>
  <c r="H919" i="19"/>
  <c r="H918" i="19"/>
  <c r="H917" i="19"/>
  <c r="H916" i="19"/>
  <c r="H915" i="19"/>
  <c r="H914" i="19"/>
  <c r="H913" i="19"/>
  <c r="H912" i="19"/>
  <c r="H911" i="19"/>
  <c r="H910" i="19"/>
  <c r="H909" i="19"/>
  <c r="H908" i="19"/>
  <c r="H907" i="19"/>
  <c r="H906" i="19"/>
  <c r="H905" i="19"/>
  <c r="H904" i="19"/>
  <c r="H903" i="19"/>
  <c r="H902" i="19"/>
  <c r="H901" i="19"/>
  <c r="H900" i="19"/>
  <c r="H899" i="19"/>
  <c r="H898" i="19"/>
  <c r="H897" i="19"/>
  <c r="H896" i="19"/>
  <c r="H895" i="19"/>
  <c r="H894" i="19"/>
  <c r="H893" i="19"/>
  <c r="H892" i="19"/>
  <c r="H891" i="19"/>
  <c r="H890" i="19"/>
  <c r="H889" i="19"/>
  <c r="H888" i="19"/>
  <c r="H887" i="19"/>
  <c r="H886" i="19"/>
  <c r="H885" i="19"/>
  <c r="H884" i="19"/>
  <c r="H883" i="19"/>
  <c r="H882" i="19"/>
  <c r="H881" i="19"/>
  <c r="H880" i="19"/>
  <c r="H879" i="19"/>
  <c r="H878" i="19"/>
  <c r="H877" i="19"/>
  <c r="H876" i="19"/>
  <c r="H856" i="19"/>
  <c r="H855" i="19"/>
  <c r="H854" i="19"/>
  <c r="H853" i="19"/>
  <c r="H852" i="19"/>
  <c r="H851" i="19"/>
  <c r="H850" i="19"/>
  <c r="H849" i="19"/>
  <c r="H848" i="19"/>
  <c r="H847" i="19"/>
  <c r="H846" i="19"/>
  <c r="H845" i="19"/>
  <c r="H844" i="19"/>
  <c r="H843" i="19"/>
  <c r="H842" i="19"/>
  <c r="H841" i="19"/>
  <c r="H840" i="19"/>
  <c r="H839" i="19"/>
  <c r="H838" i="19"/>
  <c r="H837" i="19"/>
  <c r="H836" i="19"/>
  <c r="H835" i="19"/>
  <c r="H834" i="19"/>
  <c r="H833" i="19"/>
  <c r="H832" i="19"/>
  <c r="H831" i="19"/>
  <c r="H830" i="19"/>
  <c r="H829" i="19"/>
  <c r="H828" i="19"/>
  <c r="H827" i="19"/>
  <c r="H826" i="19"/>
  <c r="H825" i="19"/>
  <c r="H824" i="19"/>
  <c r="H823" i="19"/>
  <c r="H822" i="19"/>
  <c r="H821" i="19"/>
  <c r="H820" i="19"/>
  <c r="H819" i="19"/>
  <c r="H818" i="19"/>
  <c r="H817" i="19"/>
  <c r="H801" i="19"/>
  <c r="H800" i="19"/>
  <c r="H799" i="19"/>
  <c r="H798" i="19"/>
  <c r="H797" i="19"/>
  <c r="H796" i="19"/>
  <c r="H795" i="19"/>
  <c r="H793" i="19"/>
  <c r="H792" i="19"/>
  <c r="H791" i="19"/>
  <c r="H790" i="19"/>
  <c r="H789" i="19"/>
  <c r="H788" i="19"/>
  <c r="H787" i="19"/>
  <c r="H786" i="19"/>
  <c r="H785" i="19"/>
  <c r="H784" i="19"/>
  <c r="H783" i="19"/>
  <c r="H782" i="19"/>
  <c r="H781" i="19"/>
  <c r="H780" i="19"/>
  <c r="H779" i="19"/>
  <c r="H778" i="19"/>
  <c r="H777" i="19"/>
  <c r="H776" i="19"/>
  <c r="H775" i="19"/>
  <c r="H774" i="19"/>
  <c r="H773" i="19"/>
  <c r="H772" i="19"/>
  <c r="H771" i="19"/>
  <c r="H770" i="19"/>
  <c r="H769" i="19"/>
  <c r="H768" i="19"/>
  <c r="H767" i="19"/>
  <c r="H766" i="19"/>
  <c r="H765" i="19"/>
  <c r="H764" i="19"/>
  <c r="H763" i="19"/>
  <c r="H762" i="19"/>
  <c r="H761" i="19"/>
  <c r="H760" i="19"/>
  <c r="H739" i="19"/>
  <c r="H738" i="19"/>
  <c r="H737" i="19"/>
  <c r="H736" i="19"/>
  <c r="H735" i="19"/>
  <c r="H734" i="19"/>
  <c r="H733" i="19"/>
  <c r="H732" i="19"/>
  <c r="H731" i="19"/>
  <c r="H730" i="19"/>
  <c r="H729" i="19"/>
  <c r="H728" i="19"/>
  <c r="H727" i="19"/>
  <c r="H726" i="19"/>
  <c r="H725" i="19"/>
  <c r="H724" i="19"/>
  <c r="H723" i="19"/>
  <c r="H722" i="19"/>
  <c r="H721" i="19"/>
  <c r="H720" i="19"/>
  <c r="H719" i="19"/>
  <c r="H718" i="19"/>
  <c r="H717" i="19"/>
  <c r="H716" i="19"/>
  <c r="H715" i="19"/>
  <c r="H714" i="19"/>
  <c r="H713" i="19"/>
  <c r="H712" i="19"/>
  <c r="H711" i="19"/>
  <c r="H710" i="19"/>
  <c r="H709" i="19"/>
  <c r="H708" i="19"/>
  <c r="H707" i="19"/>
  <c r="H706" i="19"/>
  <c r="H705" i="19"/>
  <c r="H704" i="19"/>
  <c r="H703" i="19"/>
  <c r="H702" i="19"/>
  <c r="H701" i="19"/>
  <c r="H700" i="19"/>
  <c r="H684" i="19"/>
  <c r="H683" i="19"/>
  <c r="H682" i="19"/>
  <c r="H681" i="19"/>
  <c r="H680" i="19"/>
  <c r="H679" i="19"/>
  <c r="H678" i="19"/>
  <c r="H677" i="19"/>
  <c r="H676" i="19"/>
  <c r="H675" i="19"/>
  <c r="H674" i="19"/>
  <c r="H673" i="19"/>
  <c r="H672" i="19"/>
  <c r="H671" i="19"/>
  <c r="H670" i="19"/>
  <c r="H669" i="19"/>
  <c r="H668" i="19"/>
  <c r="H667" i="19"/>
  <c r="H666" i="19"/>
  <c r="H665" i="19"/>
  <c r="H664" i="19"/>
  <c r="H663" i="19"/>
  <c r="H662" i="19"/>
  <c r="H661" i="19"/>
  <c r="H660" i="19"/>
  <c r="H659" i="19"/>
  <c r="H658" i="19"/>
  <c r="H657" i="19"/>
  <c r="H656" i="19"/>
  <c r="H655" i="19"/>
  <c r="H654" i="19"/>
  <c r="H653" i="19"/>
  <c r="H652" i="19"/>
  <c r="H651" i="19"/>
  <c r="H650" i="19"/>
  <c r="H649" i="19"/>
  <c r="H648" i="19"/>
  <c r="H647" i="19"/>
  <c r="H646" i="19"/>
  <c r="H645" i="19"/>
  <c r="H644" i="19"/>
  <c r="H643" i="19"/>
  <c r="H642" i="19"/>
  <c r="H641" i="19"/>
  <c r="H625" i="19"/>
  <c r="H624" i="19"/>
  <c r="H623" i="19"/>
  <c r="H622" i="19"/>
  <c r="H621" i="19"/>
  <c r="H620" i="19"/>
  <c r="H617" i="19"/>
  <c r="H616" i="19"/>
  <c r="H615" i="19"/>
  <c r="H614" i="19"/>
  <c r="H613" i="19"/>
  <c r="H612" i="19"/>
  <c r="H611" i="19"/>
  <c r="H610" i="19"/>
  <c r="H609" i="19"/>
  <c r="H608" i="19"/>
  <c r="H607" i="19"/>
  <c r="H605" i="19"/>
  <c r="F604" i="19"/>
  <c r="E604" i="19"/>
  <c r="H602" i="19"/>
  <c r="F601" i="19"/>
  <c r="E601" i="19"/>
  <c r="H599" i="19"/>
  <c r="F598" i="19"/>
  <c r="E598" i="19"/>
  <c r="H596" i="19"/>
  <c r="F595" i="19"/>
  <c r="E595" i="19"/>
  <c r="H593" i="19"/>
  <c r="F592" i="19"/>
  <c r="E592" i="19"/>
  <c r="H590" i="19"/>
  <c r="F589" i="19"/>
  <c r="E589" i="19"/>
  <c r="H587" i="19"/>
  <c r="F586" i="19"/>
  <c r="E586" i="19"/>
  <c r="H584" i="19"/>
  <c r="F583" i="19"/>
  <c r="E583" i="19"/>
  <c r="H581" i="19"/>
  <c r="F566" i="19"/>
  <c r="E566" i="19"/>
  <c r="H564" i="19"/>
  <c r="F563" i="19"/>
  <c r="E563" i="19"/>
  <c r="H561" i="19"/>
  <c r="F560" i="19"/>
  <c r="E560" i="19"/>
  <c r="H558" i="19"/>
  <c r="F557" i="19"/>
  <c r="E557" i="19"/>
  <c r="H555" i="19"/>
  <c r="F554" i="19"/>
  <c r="E554" i="19"/>
  <c r="H552" i="19"/>
  <c r="F551" i="19"/>
  <c r="E551" i="19"/>
  <c r="H549" i="19"/>
  <c r="F548" i="19"/>
  <c r="E548" i="19"/>
  <c r="H546" i="19"/>
  <c r="F545" i="19"/>
  <c r="E545" i="19"/>
  <c r="H538" i="19"/>
  <c r="H537" i="19"/>
  <c r="H536" i="19"/>
  <c r="H535" i="19"/>
  <c r="H534" i="19"/>
  <c r="H533" i="19"/>
  <c r="H532" i="19"/>
  <c r="H531" i="19"/>
  <c r="H530" i="19"/>
  <c r="H529" i="19"/>
  <c r="H528" i="19"/>
  <c r="H527" i="19"/>
  <c r="H526" i="19"/>
  <c r="H525" i="19"/>
  <c r="H524" i="19"/>
  <c r="H523" i="19"/>
  <c r="H522" i="19"/>
  <c r="H505" i="19"/>
  <c r="H504" i="19"/>
  <c r="H503" i="19"/>
  <c r="H502" i="19"/>
  <c r="H501" i="19"/>
  <c r="H500" i="19"/>
  <c r="H499" i="19"/>
  <c r="H498" i="19"/>
  <c r="H497" i="19"/>
  <c r="H496" i="19"/>
  <c r="H495" i="19"/>
  <c r="H494" i="19"/>
  <c r="H493" i="19"/>
  <c r="H492" i="19"/>
  <c r="H491" i="19"/>
  <c r="H490" i="19"/>
  <c r="H489" i="19"/>
  <c r="H488" i="19"/>
  <c r="H487" i="19"/>
  <c r="H486" i="19"/>
  <c r="H485" i="19"/>
  <c r="H484" i="19"/>
  <c r="H483" i="19"/>
  <c r="H482" i="19"/>
  <c r="H481" i="19"/>
  <c r="H480" i="19"/>
  <c r="H479" i="19"/>
  <c r="H478" i="19"/>
  <c r="H460" i="19"/>
  <c r="H458" i="19"/>
  <c r="H435" i="19"/>
  <c r="H404" i="19"/>
  <c r="H403" i="19"/>
  <c r="H402" i="19"/>
  <c r="H401" i="19"/>
  <c r="H400" i="19"/>
  <c r="H399" i="19"/>
  <c r="H398" i="19"/>
  <c r="H397" i="19"/>
  <c r="H396" i="19"/>
  <c r="H395" i="19"/>
  <c r="H394" i="19"/>
  <c r="H392" i="19"/>
  <c r="H391" i="19"/>
  <c r="H390" i="19"/>
  <c r="H389" i="19"/>
  <c r="H388" i="19"/>
  <c r="H387" i="19"/>
  <c r="H386" i="19"/>
  <c r="H385" i="19"/>
  <c r="H384" i="19"/>
  <c r="H383" i="19"/>
  <c r="H382" i="19"/>
  <c r="H381" i="19"/>
  <c r="H380" i="19"/>
  <c r="H379" i="19"/>
  <c r="H378" i="19"/>
  <c r="H374" i="19"/>
  <c r="G373" i="19"/>
  <c r="H373" i="19" s="1"/>
  <c r="H372" i="19"/>
  <c r="G371" i="19"/>
  <c r="H371" i="19" s="1"/>
  <c r="H370" i="19"/>
  <c r="G369" i="19"/>
  <c r="H369" i="19" s="1"/>
  <c r="H368" i="19"/>
  <c r="G352" i="19"/>
  <c r="H352" i="19" s="1"/>
  <c r="H351" i="19"/>
  <c r="G350" i="19"/>
  <c r="H350" i="19" s="1"/>
  <c r="H349" i="19"/>
  <c r="G348" i="19"/>
  <c r="H348" i="19" s="1"/>
  <c r="H347" i="19"/>
  <c r="G346" i="19"/>
  <c r="H346" i="19" s="1"/>
  <c r="H345" i="19"/>
  <c r="G344" i="19"/>
  <c r="H344" i="19" s="1"/>
  <c r="H343" i="19"/>
  <c r="G342" i="19"/>
  <c r="H342" i="19" s="1"/>
  <c r="H341" i="19"/>
  <c r="G340" i="19"/>
  <c r="H340" i="19" s="1"/>
  <c r="H339" i="19"/>
  <c r="G338" i="19"/>
  <c r="H338" i="19" s="1"/>
  <c r="H337" i="19"/>
  <c r="G336" i="19"/>
  <c r="H336" i="19" s="1"/>
  <c r="H335" i="19"/>
  <c r="G334" i="19"/>
  <c r="H334" i="19" s="1"/>
  <c r="H333" i="19"/>
  <c r="G332" i="19"/>
  <c r="H332" i="19" s="1"/>
  <c r="H331" i="19"/>
  <c r="G330" i="19"/>
  <c r="H330" i="19" s="1"/>
  <c r="H329" i="19"/>
  <c r="G328" i="19"/>
  <c r="H328" i="19" s="1"/>
  <c r="H327" i="19"/>
  <c r="G326" i="19"/>
  <c r="H326" i="19" s="1"/>
  <c r="H325" i="19"/>
  <c r="G324" i="19"/>
  <c r="H324" i="19" s="1"/>
  <c r="H323" i="19"/>
  <c r="G322" i="19"/>
  <c r="H322" i="19" s="1"/>
  <c r="H321" i="19"/>
  <c r="G320" i="19"/>
  <c r="H320" i="19" s="1"/>
  <c r="H319" i="19"/>
  <c r="G318" i="19"/>
  <c r="H318" i="19" s="1"/>
  <c r="H317" i="19"/>
  <c r="G316" i="19"/>
  <c r="H316" i="19" s="1"/>
  <c r="H315" i="19"/>
  <c r="G314" i="19"/>
  <c r="H314" i="19" s="1"/>
  <c r="H313" i="19"/>
  <c r="G312" i="19"/>
  <c r="H312" i="19" s="1"/>
  <c r="H311" i="19"/>
  <c r="G310" i="19"/>
  <c r="H310" i="19" s="1"/>
  <c r="H309" i="19"/>
  <c r="G293" i="19"/>
  <c r="H293" i="19" s="1"/>
  <c r="H292" i="19"/>
  <c r="G291" i="19"/>
  <c r="H291" i="19" s="1"/>
  <c r="H290" i="19"/>
  <c r="G289" i="19"/>
  <c r="H289" i="19" s="1"/>
  <c r="H288" i="19"/>
  <c r="G287" i="19"/>
  <c r="H287" i="19" s="1"/>
  <c r="H286" i="19"/>
  <c r="G285" i="19"/>
  <c r="H285" i="19" s="1"/>
  <c r="H284" i="19"/>
  <c r="G283" i="19"/>
  <c r="H283" i="19" s="1"/>
  <c r="H282" i="19"/>
  <c r="G281" i="19"/>
  <c r="H281" i="19" s="1"/>
  <c r="G279" i="19"/>
  <c r="H279" i="19" s="1"/>
  <c r="G278" i="19"/>
  <c r="H278" i="19" s="1"/>
  <c r="H277" i="19"/>
  <c r="H276" i="19"/>
  <c r="G274" i="19"/>
  <c r="G275" i="19" s="1"/>
  <c r="H275" i="19" s="1"/>
  <c r="H273" i="19"/>
  <c r="H272" i="19"/>
  <c r="G271" i="19"/>
  <c r="H271" i="19" s="1"/>
  <c r="H270" i="19"/>
  <c r="H269" i="19"/>
  <c r="G268" i="19"/>
  <c r="H268" i="19" s="1"/>
  <c r="G267" i="19"/>
  <c r="H267" i="19" s="1"/>
  <c r="G266" i="19"/>
  <c r="H266" i="19" s="1"/>
  <c r="G265" i="19"/>
  <c r="H265" i="19" s="1"/>
  <c r="H264" i="19"/>
  <c r="H263" i="19"/>
  <c r="G262" i="19"/>
  <c r="H262" i="19" s="1"/>
  <c r="G261" i="19"/>
  <c r="H261" i="19" s="1"/>
  <c r="H260" i="19"/>
  <c r="H259" i="19"/>
  <c r="G258" i="19"/>
  <c r="H258" i="19" s="1"/>
  <c r="H257" i="19"/>
  <c r="H256" i="19"/>
  <c r="G255" i="19"/>
  <c r="H255" i="19" s="1"/>
  <c r="G254" i="19"/>
  <c r="H254" i="19" s="1"/>
  <c r="H253" i="19"/>
  <c r="H252" i="19"/>
  <c r="G251" i="19"/>
  <c r="H251" i="19" s="1"/>
  <c r="H250" i="19"/>
  <c r="H234" i="19"/>
  <c r="G233" i="19"/>
  <c r="H233" i="19" s="1"/>
  <c r="G232" i="19"/>
  <c r="H232" i="19" s="1"/>
  <c r="H231" i="19"/>
  <c r="H230" i="19"/>
  <c r="G229" i="19"/>
  <c r="H229" i="19" s="1"/>
  <c r="H228" i="19"/>
  <c r="H227" i="19"/>
  <c r="G226" i="19"/>
  <c r="H226" i="19" s="1"/>
  <c r="H225" i="19"/>
  <c r="H224" i="19"/>
  <c r="H221" i="19"/>
  <c r="G220" i="19"/>
  <c r="G222" i="19" s="1"/>
  <c r="H222" i="19" s="1"/>
  <c r="F220" i="19"/>
  <c r="E220" i="19"/>
  <c r="H217" i="19"/>
  <c r="G216" i="19"/>
  <c r="G218" i="19" s="1"/>
  <c r="H218" i="19" s="1"/>
  <c r="F216" i="19"/>
  <c r="E216" i="19"/>
  <c r="H213" i="19"/>
  <c r="G212" i="19"/>
  <c r="G214" i="19" s="1"/>
  <c r="H214" i="19" s="1"/>
  <c r="F212" i="19"/>
  <c r="E212" i="19"/>
  <c r="H209" i="19"/>
  <c r="G208" i="19"/>
  <c r="G210" i="19" s="1"/>
  <c r="H210" i="19" s="1"/>
  <c r="F208" i="19"/>
  <c r="E208" i="19"/>
  <c r="H205" i="19"/>
  <c r="G204" i="19"/>
  <c r="G206" i="19" s="1"/>
  <c r="H206" i="19" s="1"/>
  <c r="F204" i="19"/>
  <c r="E204" i="19"/>
  <c r="H201" i="19"/>
  <c r="G200" i="19"/>
  <c r="G202" i="19" s="1"/>
  <c r="H202" i="19" s="1"/>
  <c r="F200" i="19"/>
  <c r="E200" i="19"/>
  <c r="H197" i="19"/>
  <c r="G196" i="19"/>
  <c r="G198" i="19" s="1"/>
  <c r="H198" i="19" s="1"/>
  <c r="F196" i="19"/>
  <c r="E196" i="19"/>
  <c r="H193" i="19"/>
  <c r="G192" i="19"/>
  <c r="G194" i="19" s="1"/>
  <c r="H194" i="19" s="1"/>
  <c r="F192" i="19"/>
  <c r="E192" i="19"/>
  <c r="H174" i="19"/>
  <c r="G173" i="19"/>
  <c r="G175" i="19" s="1"/>
  <c r="H175" i="19" s="1"/>
  <c r="F173" i="19"/>
  <c r="E173" i="19"/>
  <c r="H170" i="19"/>
  <c r="G169" i="19"/>
  <c r="G171" i="19" s="1"/>
  <c r="H171" i="19" s="1"/>
  <c r="F169" i="19"/>
  <c r="E169" i="19"/>
  <c r="H166" i="19"/>
  <c r="G165" i="19"/>
  <c r="G167" i="19" s="1"/>
  <c r="H167" i="19" s="1"/>
  <c r="F165" i="19"/>
  <c r="E165" i="19"/>
  <c r="H162" i="19"/>
  <c r="G161" i="19"/>
  <c r="G163" i="19" s="1"/>
  <c r="H163" i="19" s="1"/>
  <c r="F161" i="19"/>
  <c r="E161" i="19"/>
  <c r="H158" i="19"/>
  <c r="G157" i="19"/>
  <c r="G159" i="19" s="1"/>
  <c r="H159" i="19" s="1"/>
  <c r="F157" i="19"/>
  <c r="E157" i="19"/>
  <c r="H153" i="19"/>
  <c r="G152" i="19"/>
  <c r="G154" i="19" s="1"/>
  <c r="H154" i="19" s="1"/>
  <c r="F152" i="19"/>
  <c r="E152" i="19"/>
  <c r="H149" i="19"/>
  <c r="G148" i="19"/>
  <c r="G150" i="19" s="1"/>
  <c r="H150" i="19" s="1"/>
  <c r="F148" i="19"/>
  <c r="E148" i="19"/>
  <c r="H145" i="19"/>
  <c r="G144" i="19"/>
  <c r="G146" i="19" s="1"/>
  <c r="H146" i="19" s="1"/>
  <c r="F144" i="19"/>
  <c r="E144" i="19"/>
  <c r="H141" i="19"/>
  <c r="G140" i="19"/>
  <c r="G142" i="19" s="1"/>
  <c r="H142" i="19" s="1"/>
  <c r="F140" i="19"/>
  <c r="E140" i="19"/>
  <c r="H137" i="19"/>
  <c r="G136" i="19"/>
  <c r="G138" i="19" s="1"/>
  <c r="H138" i="19" s="1"/>
  <c r="F136" i="19"/>
  <c r="E136" i="19"/>
  <c r="H133" i="19"/>
  <c r="G117" i="19"/>
  <c r="G134" i="19" s="1"/>
  <c r="H134" i="19" s="1"/>
  <c r="F117" i="19"/>
  <c r="E117" i="19"/>
  <c r="H114" i="19"/>
  <c r="G113" i="19"/>
  <c r="G115" i="19" s="1"/>
  <c r="H115" i="19" s="1"/>
  <c r="F113" i="19"/>
  <c r="E113" i="19"/>
  <c r="H110" i="19"/>
  <c r="G109" i="19"/>
  <c r="G111" i="19" s="1"/>
  <c r="H111" i="19" s="1"/>
  <c r="F109" i="19"/>
  <c r="E109" i="19"/>
  <c r="H106" i="19"/>
  <c r="G105" i="19"/>
  <c r="G107" i="19" s="1"/>
  <c r="H107" i="19" s="1"/>
  <c r="F105" i="19"/>
  <c r="E105" i="19"/>
  <c r="H102" i="19"/>
  <c r="G101" i="19"/>
  <c r="G103" i="19" s="1"/>
  <c r="H103" i="19" s="1"/>
  <c r="F101" i="19"/>
  <c r="E101" i="19"/>
  <c r="H98" i="19"/>
  <c r="G97" i="19"/>
  <c r="G99" i="19" s="1"/>
  <c r="H99" i="19" s="1"/>
  <c r="F97" i="19"/>
  <c r="E97" i="19"/>
  <c r="H93" i="19"/>
  <c r="H92" i="19"/>
  <c r="H91" i="19"/>
  <c r="H90" i="19"/>
  <c r="H89" i="19"/>
  <c r="H88" i="19"/>
  <c r="H87" i="19"/>
  <c r="H86" i="19"/>
  <c r="H85" i="19"/>
  <c r="H84" i="19"/>
  <c r="H83" i="19"/>
  <c r="H81" i="19"/>
  <c r="H80" i="19"/>
  <c r="H79" i="19"/>
  <c r="H78" i="19"/>
  <c r="H77" i="19"/>
  <c r="H76" i="19"/>
  <c r="H75" i="19"/>
  <c r="H74" i="19"/>
  <c r="G57" i="19"/>
  <c r="H57" i="19" s="1"/>
  <c r="G56" i="19"/>
  <c r="F56" i="19"/>
  <c r="E56" i="19"/>
  <c r="G54" i="19"/>
  <c r="H54" i="19" s="1"/>
  <c r="G53" i="19"/>
  <c r="F53" i="19"/>
  <c r="E53" i="19"/>
  <c r="G51" i="19"/>
  <c r="H51" i="19" s="1"/>
  <c r="G50" i="19"/>
  <c r="F50" i="19"/>
  <c r="E50" i="19"/>
  <c r="G48" i="19"/>
  <c r="H48" i="19" s="1"/>
  <c r="G47" i="19"/>
  <c r="F47" i="19"/>
  <c r="E47" i="19"/>
  <c r="G45" i="19"/>
  <c r="H45" i="19" s="1"/>
  <c r="G44" i="19"/>
  <c r="F44" i="19"/>
  <c r="E44" i="19"/>
  <c r="G42" i="19"/>
  <c r="H42" i="19" s="1"/>
  <c r="G41" i="19"/>
  <c r="F41" i="19"/>
  <c r="E41" i="19"/>
  <c r="G39" i="19"/>
  <c r="H39" i="19" s="1"/>
  <c r="G38" i="19"/>
  <c r="F38" i="19"/>
  <c r="E38" i="19"/>
  <c r="G36" i="19"/>
  <c r="H36" i="19" s="1"/>
  <c r="G35" i="19"/>
  <c r="F35" i="19"/>
  <c r="E35" i="19"/>
  <c r="G33" i="19"/>
  <c r="H33" i="19" s="1"/>
  <c r="G32" i="19"/>
  <c r="F32" i="19"/>
  <c r="E32" i="19"/>
  <c r="G30" i="19"/>
  <c r="H30" i="19" s="1"/>
  <c r="G29" i="19"/>
  <c r="F29" i="19"/>
  <c r="E29" i="19"/>
  <c r="G27" i="19"/>
  <c r="H27" i="19" s="1"/>
  <c r="G26" i="19"/>
  <c r="F26" i="19"/>
  <c r="E26" i="19"/>
  <c r="K22" i="19"/>
  <c r="K18" i="19"/>
  <c r="K16" i="19"/>
  <c r="H551" i="19" l="1"/>
  <c r="H1208" i="19"/>
  <c r="K375" i="19"/>
  <c r="K541" i="19" s="1"/>
  <c r="H545" i="19"/>
  <c r="K875" i="19"/>
  <c r="H563" i="19"/>
  <c r="H601" i="19"/>
  <c r="H101" i="19"/>
  <c r="H109" i="19"/>
  <c r="H117" i="19"/>
  <c r="H140" i="19"/>
  <c r="H148" i="19"/>
  <c r="H157" i="19"/>
  <c r="H173" i="19"/>
  <c r="H196" i="19"/>
  <c r="H204" i="19"/>
  <c r="H212" i="19"/>
  <c r="H589" i="19"/>
  <c r="H56" i="19"/>
  <c r="H560" i="19"/>
  <c r="H220" i="19"/>
  <c r="H583" i="19"/>
  <c r="H592" i="19"/>
  <c r="K1264" i="19"/>
  <c r="H1220" i="19"/>
  <c r="H113" i="19"/>
  <c r="H595" i="19"/>
  <c r="H604" i="19"/>
  <c r="H1260" i="19"/>
  <c r="H32" i="19"/>
  <c r="H53" i="19"/>
  <c r="H598" i="19"/>
  <c r="K1111" i="19"/>
  <c r="K1142" i="19"/>
  <c r="H44" i="19"/>
  <c r="H1214" i="19"/>
  <c r="H29" i="19"/>
  <c r="H35" i="19"/>
  <c r="H161" i="19"/>
  <c r="H169" i="19"/>
  <c r="H208" i="19"/>
  <c r="H557" i="19"/>
  <c r="H586" i="19"/>
  <c r="H1232" i="19"/>
  <c r="H1254" i="19"/>
  <c r="H144" i="19"/>
  <c r="H152" i="19"/>
  <c r="H554" i="19"/>
  <c r="K618" i="19"/>
  <c r="H1217" i="19"/>
  <c r="H1226" i="19"/>
  <c r="H1251" i="19"/>
  <c r="H548" i="19"/>
  <c r="H26" i="19"/>
  <c r="H50" i="19"/>
  <c r="H1257" i="19"/>
  <c r="H41" i="19"/>
  <c r="H1223" i="19"/>
  <c r="K82" i="19"/>
  <c r="H47" i="19"/>
  <c r="K73" i="19"/>
  <c r="H97" i="19"/>
  <c r="H105" i="19"/>
  <c r="H192" i="19"/>
  <c r="H200" i="19"/>
  <c r="H1229" i="19"/>
  <c r="H38" i="19"/>
  <c r="H136" i="19"/>
  <c r="H165" i="19"/>
  <c r="H216" i="19"/>
  <c r="H566" i="19"/>
  <c r="H1211" i="19"/>
  <c r="K758" i="19"/>
  <c r="K858" i="19" s="1"/>
  <c r="H274" i="19"/>
  <c r="K542" i="19" l="1"/>
  <c r="K1206" i="19"/>
  <c r="K24" i="19"/>
  <c r="K94" i="19"/>
  <c r="H1137" i="19" s="1"/>
  <c r="H1136" i="19" l="1"/>
  <c r="H1138" i="19" s="1"/>
  <c r="C8" i="8" l="1"/>
  <c r="E20" i="8" l="1"/>
  <c r="E22" i="8" l="1"/>
  <c r="E25" i="8" s="1"/>
  <c r="G27" i="8" s="1"/>
</calcChain>
</file>

<file path=xl/sharedStrings.xml><?xml version="1.0" encoding="utf-8"?>
<sst xmlns="http://schemas.openxmlformats.org/spreadsheetml/2006/main" count="1788" uniqueCount="768">
  <si>
    <t>Fecha:</t>
  </si>
  <si>
    <t>Plazo Contrato:</t>
  </si>
  <si>
    <t>Días Calendario</t>
  </si>
  <si>
    <t>POTOSI</t>
  </si>
  <si>
    <t>Bs.</t>
  </si>
  <si>
    <t>Nombre (Sello):</t>
  </si>
  <si>
    <t>Fecha :</t>
  </si>
  <si>
    <t>Presentado por :</t>
  </si>
  <si>
    <t>Revisado por :</t>
  </si>
  <si>
    <t>ITEM</t>
  </si>
  <si>
    <t>Fecha de inicio:</t>
  </si>
  <si>
    <t>Proyecto:</t>
  </si>
  <si>
    <t>Empresa Contratista:</t>
  </si>
  <si>
    <t>Departamento:</t>
  </si>
  <si>
    <t>Provincia :</t>
  </si>
  <si>
    <t>ANTONIO QUIJARRO</t>
  </si>
  <si>
    <t>Municipio:</t>
  </si>
  <si>
    <t xml:space="preserve">  Monto Contractural en Bs.</t>
  </si>
  <si>
    <t xml:space="preserve">  Nuevo Monto Aprobado en Bs.</t>
  </si>
  <si>
    <t xml:space="preserve">  Porcentaje de Incremento o Disminución</t>
  </si>
  <si>
    <t>Resumen justificativo:</t>
  </si>
  <si>
    <t>Firmas:</t>
  </si>
  <si>
    <t>Empresa Contratista</t>
  </si>
  <si>
    <t>Supervisor de Obra</t>
  </si>
  <si>
    <t>Validado por :</t>
  </si>
  <si>
    <t>Fiscal de Obra</t>
  </si>
  <si>
    <t>Las razones por las que se realizó el presente Orden de Cambio son:</t>
  </si>
  <si>
    <t xml:space="preserve">1.- UNA VEZ REALIZADO EL BALANCE SE PRESENTO VARIAS MODIFICACIONES DE VOLUMENES EN VARIOS ITEMS COMO SER DECREMENTO E INCREMENTO, INCREMENTO DE VOLUMENES EN LOS SIGUIENTES ITEMS DE EXCAVACION, CIMIENTOS DE H°C°, CORDONES DE ACERA PREFABRICADA Y EL ITEM DE RELLENO Y COMPACTACION COMO TAMBIEN EXISTE DECREMENTO DE VOLUMENES COMO SER EN LOS SIGUIENTES ITEMS DE ZAPATAS, COLUMNAS, REJAS DEL MURO PERIMETRAL Y MURO DE CONTECNION DE H°C°. </t>
  </si>
  <si>
    <t>Incremento y/o decremento según Orden de Cambio en Bs.</t>
  </si>
  <si>
    <t>UNIVERSIDAD AUTONOMA TOMAS FRIAS</t>
  </si>
  <si>
    <t xml:space="preserve">BALANCE  Nº  </t>
  </si>
  <si>
    <t>EMCONSGAL S.R.L.</t>
  </si>
  <si>
    <t>TOMAS FRIAS</t>
  </si>
  <si>
    <t>NOMBRE DEL PROYECTO :</t>
  </si>
  <si>
    <t>FECHA DE INICIO :</t>
  </si>
  <si>
    <t>PLAZO DEL CONTRATO :</t>
  </si>
  <si>
    <t>D.C.</t>
  </si>
  <si>
    <t>ENTIDAD CONTRATANTE :</t>
  </si>
  <si>
    <t>UNIVERSIDAD AUTÓNOMA TOMAS FRIAS</t>
  </si>
  <si>
    <t>TOTAL AMPLIACIÓN DE PLAZO:</t>
  </si>
  <si>
    <t>FECHA DE CNCLUSIÓN:</t>
  </si>
  <si>
    <t>EMPRESA CONTRATISTA :</t>
  </si>
  <si>
    <t>MONTOS TOTALES A CONSIDERAR :</t>
  </si>
  <si>
    <t>SON:</t>
  </si>
  <si>
    <t>Revisado por:</t>
  </si>
  <si>
    <t>Validado por:</t>
  </si>
  <si>
    <t>CONSTRUCTORA KODESH</t>
  </si>
  <si>
    <t>RETIRO DE ESCOMBROS C/CARGUÍO</t>
  </si>
  <si>
    <t>M3</t>
  </si>
  <si>
    <t>M</t>
  </si>
  <si>
    <t>M2</t>
  </si>
  <si>
    <t>PZA</t>
  </si>
  <si>
    <t>REPLANTEO (ESTRUCTURAS Y EDIFICACIONES)</t>
  </si>
  <si>
    <t>GLB</t>
  </si>
  <si>
    <t xml:space="preserve">DUCTO PRINCIPAL DE PVC 1" </t>
  </si>
  <si>
    <t xml:space="preserve">CAJAS CUADRADAS MET. 15X12 CM (DERIVACIÓN) </t>
  </si>
  <si>
    <t>PTO</t>
  </si>
  <si>
    <t>ITEMS NUEVOS</t>
  </si>
  <si>
    <t>TOTAL</t>
  </si>
  <si>
    <t>Ing. Juan Chara Ch.</t>
  </si>
  <si>
    <t>Ing. Danieli Tabohada</t>
  </si>
  <si>
    <t>Revisado  por:</t>
  </si>
  <si>
    <t>Empresa Constructora</t>
  </si>
  <si>
    <t>Presentado por:</t>
  </si>
  <si>
    <t>Firma:</t>
  </si>
  <si>
    <t>Nombre (Sello)</t>
  </si>
  <si>
    <t>KODESH</t>
  </si>
  <si>
    <t>Empresa Constructora:</t>
  </si>
  <si>
    <t>COMPUTOS METRICOS DEMOLICIONES</t>
  </si>
  <si>
    <t>DEPARTAMENTO DE INFRAESTRUCTURA</t>
  </si>
  <si>
    <t>(m)</t>
  </si>
  <si>
    <t>(m2)</t>
  </si>
  <si>
    <t>(m3)</t>
  </si>
  <si>
    <t>LINEAL</t>
  </si>
  <si>
    <t>AREA</t>
  </si>
  <si>
    <t>VOLUMEN</t>
  </si>
  <si>
    <t>ALTURA</t>
  </si>
  <si>
    <t xml:space="preserve">ANCHO </t>
  </si>
  <si>
    <t xml:space="preserve">LARGO </t>
  </si>
  <si>
    <t>CANTIDADES PARCIALES</t>
  </si>
  <si>
    <t xml:space="preserve">DIMENSIONES </t>
  </si>
  <si>
    <t>Nro. De veces</t>
  </si>
  <si>
    <t>UNID.</t>
  </si>
  <si>
    <t>ACTIVIDAD</t>
  </si>
  <si>
    <t>N° de ITEMS</t>
  </si>
  <si>
    <t>EXCAVACION</t>
  </si>
  <si>
    <t>Ing. Ronald Bustillos Quiroga</t>
  </si>
  <si>
    <t>HORMIGÓN SIMPLE ZAPATAS   H25</t>
  </si>
  <si>
    <t>REFUERZO</t>
  </si>
  <si>
    <t>EXISTENTE</t>
  </si>
  <si>
    <t>ZAPATAS NUEVAS</t>
  </si>
  <si>
    <t>EXCAVACIÓN (0-2 M.) S. DURO P/AMPLIAR ZAP</t>
  </si>
  <si>
    <t>ZT1</t>
  </si>
  <si>
    <t>ZT2</t>
  </si>
  <si>
    <t>ZT3</t>
  </si>
  <si>
    <t>ZT4</t>
  </si>
  <si>
    <t>ZT5</t>
  </si>
  <si>
    <t>ZT6</t>
  </si>
  <si>
    <t>ZT7</t>
  </si>
  <si>
    <t>ZT8</t>
  </si>
  <si>
    <t>ZT9</t>
  </si>
  <si>
    <t>ZT10</t>
  </si>
  <si>
    <t>ZT11</t>
  </si>
  <si>
    <t>ZT12</t>
  </si>
  <si>
    <t>ZT13</t>
  </si>
  <si>
    <t>ZT16</t>
  </si>
  <si>
    <t>EXCAVACIÓN (0-4 M.) S. DURO P/AMPLIAR ZAP</t>
  </si>
  <si>
    <t>EXCAVACIÓN CON MAQUINARIA</t>
  </si>
  <si>
    <t>BASE DE HORMIGÓN POBRE + MEJORAMIENTO SUELO</t>
  </si>
  <si>
    <t>KG</t>
  </si>
  <si>
    <t>ZAPATA</t>
  </si>
  <si>
    <t>PERFORACION DE ANCLAJES EN ZAPATAS</t>
  </si>
  <si>
    <t>M03 - # 3 SANITARIO</t>
  </si>
  <si>
    <t>M02 - M# 2  ELECTRICO</t>
  </si>
  <si>
    <t>M01 - # 1 OBRA GRUESA</t>
  </si>
  <si>
    <t>EXCAVACIÓN CON MAQUINARIA EN SUELO DURO</t>
  </si>
  <si>
    <t>INSTALACIÓN DE FAENAS EDIF. POSTGRADO</t>
  </si>
  <si>
    <t>LIMPIEZA DE ESCOMBRO POZO ZAPATA</t>
  </si>
  <si>
    <t>EXCAVACIÓN (0-2 M.) S. SEMIDURO P/AMPLIAR ZAP</t>
  </si>
  <si>
    <t>RELLENO Y COMPACTADO A MAQUINA</t>
  </si>
  <si>
    <t>ACERO ESTRUCTURAL FY=5000 KG/CM2</t>
  </si>
  <si>
    <t>HORMIGÓN SIMPLE VIGAS DE FUNDACIÓN H25</t>
  </si>
  <si>
    <t>HORMIGÓN SIMPLE COLUMNAS H25</t>
  </si>
  <si>
    <t>VIGAS DE Hº Aº  H25</t>
  </si>
  <si>
    <t>HOSO LOSA ALIV. C/VIGUETA SIMPLE PRETEN Y PLAST H=25.</t>
  </si>
  <si>
    <t>HORMIGÓN SIMPLE ESCALERAS  H25</t>
  </si>
  <si>
    <t xml:space="preserve">LIMPIEZA GENERAL </t>
  </si>
  <si>
    <t>ZAPATAS A AMPLIAR</t>
  </si>
  <si>
    <t>AREA DE EMPLAZAMIENTO</t>
  </si>
  <si>
    <t>COL. DE ARRANQUE</t>
  </si>
  <si>
    <t>ZT1 (EJE A-16)</t>
  </si>
  <si>
    <t>ZT2 (EJE A-14)</t>
  </si>
  <si>
    <t>ZT3 (EJE A-12)</t>
  </si>
  <si>
    <t>ZT4 (EJE B-11)</t>
  </si>
  <si>
    <t>ZT5 (EJE C-9)</t>
  </si>
  <si>
    <t>ZT9 (EJE G-16)</t>
  </si>
  <si>
    <t>ZT10 (EJE H-16)</t>
  </si>
  <si>
    <t>ZT10 (EJE H-12)</t>
  </si>
  <si>
    <t>ZT11 (EJE H-14)</t>
  </si>
  <si>
    <t>ZT14 (EJE P-19)</t>
  </si>
  <si>
    <t>ZT15 (EJE Q-18)</t>
  </si>
  <si>
    <t>ZT1 (EJE A-1)</t>
  </si>
  <si>
    <t>ZT2 (EJE A-3)</t>
  </si>
  <si>
    <t>ZT3 (EJE A-5)</t>
  </si>
  <si>
    <t>ZT4 (EJE B-6)</t>
  </si>
  <si>
    <t>ZT5 (EJE C-8)</t>
  </si>
  <si>
    <t>ZT6 (EJE D-5)</t>
  </si>
  <si>
    <t>ZT7 (EJE F-2)</t>
  </si>
  <si>
    <t>ZT8 (EJE G-9)</t>
  </si>
  <si>
    <t>ZT12 (EJE I-6)</t>
  </si>
  <si>
    <t>ZT13 (EJE I-8)</t>
  </si>
  <si>
    <t>ZT16 (EJE N-20)</t>
  </si>
  <si>
    <t>ZT12 (EJE I-11)</t>
  </si>
  <si>
    <t>ZT13 (EJE I-9)</t>
  </si>
  <si>
    <t>VIGAS DE ARRIOSTRE</t>
  </si>
  <si>
    <t>EJE 1 TRAMO A-C</t>
  </si>
  <si>
    <t>EJE 1 TRAMO C-D</t>
  </si>
  <si>
    <t>EJE 1 TRAMO D-F</t>
  </si>
  <si>
    <t>EJE 1 TRAMO F-G</t>
  </si>
  <si>
    <t>EJE 1 TRAMO G-H</t>
  </si>
  <si>
    <t>EJE 1 TRAMO H-J</t>
  </si>
  <si>
    <t>EJE 1 TRAMO J-K</t>
  </si>
  <si>
    <t>EJE 5 TRAMO A-C</t>
  </si>
  <si>
    <t>EJE 5 TRAMO C-D</t>
  </si>
  <si>
    <t>EJE 5 TRAMO D-F</t>
  </si>
  <si>
    <t>EJE 5 TRAMO F-G</t>
  </si>
  <si>
    <t>EJE 5 TRAMO G-H</t>
  </si>
  <si>
    <t>EJE 5 TRAMO J-K</t>
  </si>
  <si>
    <t>EJE 5 TRAMO H-I</t>
  </si>
  <si>
    <t>EJE 5 TRAMO I-J</t>
  </si>
  <si>
    <t>EJE 6 TRAMO A-B</t>
  </si>
  <si>
    <t>EJE 6 TRAMO B-D</t>
  </si>
  <si>
    <t>EJE 6 TRAMO D-E</t>
  </si>
  <si>
    <t>EJE 6 TRAMO E-G</t>
  </si>
  <si>
    <t>EJE 6 TRAMO G-I</t>
  </si>
  <si>
    <t>EJE 6 TRAMO I-J</t>
  </si>
  <si>
    <t>EJE 11 TRAMO A-B</t>
  </si>
  <si>
    <t>EJE 11 TRANO B-D</t>
  </si>
  <si>
    <t>EJE 11 TRAMO E-G</t>
  </si>
  <si>
    <t>EJE 11 TRAMO G-I</t>
  </si>
  <si>
    <t>EJE 11 TRAMO I-J</t>
  </si>
  <si>
    <t>EJE 12 TRAMO C-D</t>
  </si>
  <si>
    <t>EJE 12 TRAMO D-F</t>
  </si>
  <si>
    <t>EJE 12 TRAMO F-G</t>
  </si>
  <si>
    <t>EJE 12 TRAMO G-H</t>
  </si>
  <si>
    <t>EJEJ 12 TRAMO H-I</t>
  </si>
  <si>
    <t>EJE 13 TRAMO F-G</t>
  </si>
  <si>
    <t>EJE 15 TRAMO F-G</t>
  </si>
  <si>
    <t>EJE 16 TRAMO A-C</t>
  </si>
  <si>
    <t>EJE 16 TRAMO C-D</t>
  </si>
  <si>
    <t>EJE 16 TRAMO D-F</t>
  </si>
  <si>
    <t>EJE 16 TRAMO G-H</t>
  </si>
  <si>
    <t>EJE 16 TRAMO H-J</t>
  </si>
  <si>
    <t>EJE A TRAMO 1-3</t>
  </si>
  <si>
    <t>EJE A TRAMO 3-5</t>
  </si>
  <si>
    <t>EJE A TRAMO 5-6</t>
  </si>
  <si>
    <t>EJE A TRAMO 11-12</t>
  </si>
  <si>
    <t>EJE A TRAMO 12-14</t>
  </si>
  <si>
    <t>EJE A TRAMO 14-16</t>
  </si>
  <si>
    <t>EJE B TRAMO 6-8</t>
  </si>
  <si>
    <t>EJE B TRAMO 8-9</t>
  </si>
  <si>
    <t>EJE B TRAMO 9-11</t>
  </si>
  <si>
    <t>EJE C TRAMO 8-9</t>
  </si>
  <si>
    <t>EJE D TRAMO 5-6</t>
  </si>
  <si>
    <t>EJE D TRAMO 11-12</t>
  </si>
  <si>
    <t>EJE E TRAMO 6-8</t>
  </si>
  <si>
    <t>EJE E TRAMO 8-9</t>
  </si>
  <si>
    <t>EJE E TRAMO 9-11</t>
  </si>
  <si>
    <t>EJE F TRAMO 1-2</t>
  </si>
  <si>
    <t>EJE F TRAMO 2-4</t>
  </si>
  <si>
    <t>EJE F TRAMO 13-15</t>
  </si>
  <si>
    <t>EJE F TRAMO 15-16</t>
  </si>
  <si>
    <t>EJE G TRAMO 5-6</t>
  </si>
  <si>
    <t>EJE G TRAMO 6-8</t>
  </si>
  <si>
    <t>EJE G TRAMO 8-9</t>
  </si>
  <si>
    <t>EJE G TRAMO 9-11</t>
  </si>
  <si>
    <t>EJE G TRAMO 11-12</t>
  </si>
  <si>
    <t>EJE G TRAMO 13-15</t>
  </si>
  <si>
    <t>EJE G TRAMO 15-16</t>
  </si>
  <si>
    <t>EJE I TRAMO 6-8</t>
  </si>
  <si>
    <t>EJE I TRAMO 8-9</t>
  </si>
  <si>
    <t>EJE I TRAMO 9-11</t>
  </si>
  <si>
    <t>EJE I TRAMO 12-14</t>
  </si>
  <si>
    <t>EJE K TRAMO 1-3</t>
  </si>
  <si>
    <t>EJE 24 TRAMO K-L</t>
  </si>
  <si>
    <t>EJE L TRAMO 24-23</t>
  </si>
  <si>
    <t>EJE L TRAMO 22-23</t>
  </si>
  <si>
    <t>EJE J TRAMO 22-6</t>
  </si>
  <si>
    <t>EJE 21 TRAMO 22-M</t>
  </si>
  <si>
    <t>EJE 21 TRAMO M-N</t>
  </si>
  <si>
    <t>EJE N TRAMO 21-20</t>
  </si>
  <si>
    <t>EJE J TRAMO 11-O</t>
  </si>
  <si>
    <t>EJE N TRAMO 20-11</t>
  </si>
  <si>
    <t>EJE 19 TRAMO O-P</t>
  </si>
  <si>
    <t>EJE 19 TRAMO P-Q</t>
  </si>
  <si>
    <t>EJE Q TRAMO 19-18</t>
  </si>
  <si>
    <t>EJE Q TRAMO 18-17</t>
  </si>
  <si>
    <t>EJE J TRAMO 15-16</t>
  </si>
  <si>
    <t>EJE O TRAMO 19-18</t>
  </si>
  <si>
    <t>EJE 17 TRAMO P-Q</t>
  </si>
  <si>
    <t>EXCAVACION ZT1</t>
  </si>
  <si>
    <t>ZAPATA T1</t>
  </si>
  <si>
    <t>COLUMNAS DE ARRANQUE</t>
  </si>
  <si>
    <t>ZAPATA T2</t>
  </si>
  <si>
    <t>ZAPATA T3</t>
  </si>
  <si>
    <t>EXCAVACION  ZT2</t>
  </si>
  <si>
    <t>EXCAVACION  ZT3</t>
  </si>
  <si>
    <t>EXCAVACION ZT4</t>
  </si>
  <si>
    <t>ZAPATA T4</t>
  </si>
  <si>
    <t>EXCAVACION ZT5</t>
  </si>
  <si>
    <t>ZAPATA T5</t>
  </si>
  <si>
    <t>EXCAVACION ZT6</t>
  </si>
  <si>
    <t>ZAPATA T6</t>
  </si>
  <si>
    <t>EXCAVACION ZT7</t>
  </si>
  <si>
    <t>ZAPATA T7</t>
  </si>
  <si>
    <t>EXCAVACION ZT8</t>
  </si>
  <si>
    <t>ZAPATA T8</t>
  </si>
  <si>
    <t>EXCAVACION ZT9</t>
  </si>
  <si>
    <t>ZAPATA T9</t>
  </si>
  <si>
    <t>EXCAVACION ZT10</t>
  </si>
  <si>
    <t>ZAPATA T10</t>
  </si>
  <si>
    <t>EXCAVACION ZT11</t>
  </si>
  <si>
    <t>ZAPATA T11</t>
  </si>
  <si>
    <t xml:space="preserve">DUCTO  PVC 3/4" </t>
  </si>
  <si>
    <t xml:space="preserve">CAJAS OCTOGONALES PVC </t>
  </si>
  <si>
    <t>DUCTO PRINCIPAL PVC SRD DE 4"</t>
  </si>
  <si>
    <t>INSTAL. TUBERÍA DE DESAGÜE PVC D=4" P/ INODOROS</t>
  </si>
  <si>
    <t>INSTAL. TUBERÍA DE DESAGÜE PVC D=2" P/LAVAMANOS</t>
  </si>
  <si>
    <t>INSTAL. TUBERÍA DE DESAGÜE PVC D=2" P/URINARIOS</t>
  </si>
  <si>
    <t>INSTAL. TUBERÍA DE DESAGÜE PVC D=2" P/LAVAPLATOS Y DUCHAS</t>
  </si>
  <si>
    <t>INSTAL. TUBERÍA DE DESAGÜE PVC D=4" P/ BAJANTE SANITARIA</t>
  </si>
  <si>
    <t>CAJA INTERCEPTORA DE PVC 6"X20 CM.</t>
  </si>
  <si>
    <t xml:space="preserve">ZT1 </t>
  </si>
  <si>
    <t xml:space="preserve">ZT2 </t>
  </si>
  <si>
    <t xml:space="preserve">ZT3 </t>
  </si>
  <si>
    <t xml:space="preserve">ZT4 </t>
  </si>
  <si>
    <t xml:space="preserve">ZT5 </t>
  </si>
  <si>
    <t xml:space="preserve">ZT9 </t>
  </si>
  <si>
    <t xml:space="preserve">ZT10 </t>
  </si>
  <si>
    <t xml:space="preserve">ZT11 </t>
  </si>
  <si>
    <t xml:space="preserve">ZT14 </t>
  </si>
  <si>
    <t xml:space="preserve">ZT15 </t>
  </si>
  <si>
    <t xml:space="preserve">ZT7 </t>
  </si>
  <si>
    <t xml:space="preserve">ZT8 </t>
  </si>
  <si>
    <t>ZAPATAS A ENCALZAR</t>
  </si>
  <si>
    <t>EJE 11 TRANO D-E</t>
  </si>
  <si>
    <t>EJE 12 TRAMO A-C</t>
  </si>
  <si>
    <t>EJE F TRAMO 4-5</t>
  </si>
  <si>
    <t>EJE F TRAMO 12-13</t>
  </si>
  <si>
    <t>EJE G TRAMO 12-13</t>
  </si>
  <si>
    <t>RELLENO EN ZAPATAS QUE SE MANTIENEN</t>
  </si>
  <si>
    <t xml:space="preserve">RELLENO EN ZAPATAS A AMPLIAR EXCV. (0-2M) </t>
  </si>
  <si>
    <t xml:space="preserve">RELLENO EN ZAPATAS A AMPLIAR EXCV. (0-4M) </t>
  </si>
  <si>
    <t>RELLENO EN ZAPATAS NUEVAS</t>
  </si>
  <si>
    <t>EXCV. ZAPATA 1</t>
  </si>
  <si>
    <t>ZAPATA1</t>
  </si>
  <si>
    <t>EXCV. ZAPATA 2</t>
  </si>
  <si>
    <t>ZAPATA 2</t>
  </si>
  <si>
    <t>EXCV. ZAPATA 3</t>
  </si>
  <si>
    <t>ZAPATA 3</t>
  </si>
  <si>
    <t>EXCV. ZAPATA 4</t>
  </si>
  <si>
    <t>ZAPATA 4</t>
  </si>
  <si>
    <t>EXCV. ZAPATA 5</t>
  </si>
  <si>
    <t>ZAPATA 5</t>
  </si>
  <si>
    <t>EXCV. ZAPATA 6</t>
  </si>
  <si>
    <t>ZAPATA 6</t>
  </si>
  <si>
    <t>EXCV. ZAPATA 7</t>
  </si>
  <si>
    <t>ZAPATA 7</t>
  </si>
  <si>
    <t>EXCV. ZAPATA 8</t>
  </si>
  <si>
    <t>ZAPATA 8</t>
  </si>
  <si>
    <t>EXCV. ZAPATA 9</t>
  </si>
  <si>
    <t>ZAPATA 9</t>
  </si>
  <si>
    <t>EXCV. ZAPATA 10</t>
  </si>
  <si>
    <t>ZAPATA 10</t>
  </si>
  <si>
    <t>EXCV. ZAPATA 11</t>
  </si>
  <si>
    <t>ZAPATA 11</t>
  </si>
  <si>
    <t>ZAPATA 12</t>
  </si>
  <si>
    <t>EXCV. ZAPATA 12</t>
  </si>
  <si>
    <t>EXCV. ZAPATA 13</t>
  </si>
  <si>
    <t>ZAPATA 13</t>
  </si>
  <si>
    <t>EXCV. ZAPATA 14</t>
  </si>
  <si>
    <t>ZAPATA 14</t>
  </si>
  <si>
    <t>EXCV. ZAPATA 15</t>
  </si>
  <si>
    <t>ZAPATA 15</t>
  </si>
  <si>
    <t>EXCV. ZAPATA 16</t>
  </si>
  <si>
    <t>ZAPATA 16</t>
  </si>
  <si>
    <t>EXCV. ZAPATA 17</t>
  </si>
  <si>
    <t>ZAPATA 17</t>
  </si>
  <si>
    <t>EXCV. ZAPATA 18</t>
  </si>
  <si>
    <t>ZAPATA 18</t>
  </si>
  <si>
    <t>EXCV. ZAPATA 19</t>
  </si>
  <si>
    <t>ZAPATA 19</t>
  </si>
  <si>
    <t>EXCV. ZAPATA 20</t>
  </si>
  <si>
    <t>ZAPATA 20</t>
  </si>
  <si>
    <t>EXCV. ZAPATA 21</t>
  </si>
  <si>
    <t>ZAPATA 21</t>
  </si>
  <si>
    <t>EXCV. ZAPATA 22</t>
  </si>
  <si>
    <t>ZAPATA 22</t>
  </si>
  <si>
    <t>EXCV. ZAPATA 23</t>
  </si>
  <si>
    <t>ZAPATA 23</t>
  </si>
  <si>
    <t>EXCV. ZAPATA 24</t>
  </si>
  <si>
    <t>ZAPATA 24</t>
  </si>
  <si>
    <t>EXCV. ZAPATA 25</t>
  </si>
  <si>
    <t>ZAPATA 25</t>
  </si>
  <si>
    <t>EXCV. ZAPATA 26</t>
  </si>
  <si>
    <t>ZAPATA 26</t>
  </si>
  <si>
    <t>EXCV. ZAPATA 27</t>
  </si>
  <si>
    <t>ZAPATA 27</t>
  </si>
  <si>
    <t>EXCV. ZAPATA 28</t>
  </si>
  <si>
    <t>ZAPATA 28</t>
  </si>
  <si>
    <t>EXCV. ZAPATA 29</t>
  </si>
  <si>
    <t>ZAPATA 29</t>
  </si>
  <si>
    <t>EXCV. ZAPATA 30</t>
  </si>
  <si>
    <t>ZAPATA 30</t>
  </si>
  <si>
    <t>EXCV. ZAPATA 31</t>
  </si>
  <si>
    <t>ZAPATA 31</t>
  </si>
  <si>
    <t>EXCV. ZAPATA 32</t>
  </si>
  <si>
    <t>ZAPATA 32</t>
  </si>
  <si>
    <t>ZAPATAS QUE SE ENTIERRAN</t>
  </si>
  <si>
    <t>ZAPATAS QUE SE ENCALZAN</t>
  </si>
  <si>
    <t>ZAPATAS QUE SE MANTIENEN</t>
  </si>
  <si>
    <t>CONSTRUCCION EDIFICIO DE POSTGRADO</t>
  </si>
  <si>
    <t>COLUMNAS NUEVAS</t>
  </si>
  <si>
    <t>COLUMNA EJE A-16</t>
  </si>
  <si>
    <t>COLUMNA EJE D-1</t>
  </si>
  <si>
    <t>COLUMNA EJE D-12</t>
  </si>
  <si>
    <t>COLUMNA EJE D-16</t>
  </si>
  <si>
    <t>COLUMNA EJE F-1</t>
  </si>
  <si>
    <t>COLUMNA EJE F-2</t>
  </si>
  <si>
    <t>COLUMNA EJE F-4</t>
  </si>
  <si>
    <t>COLUMNA EJE F-12</t>
  </si>
  <si>
    <t>COLUMNA EJE F-13</t>
  </si>
  <si>
    <t>COLUMNA EJE F-15</t>
  </si>
  <si>
    <t>COLUMNA EJE F-16</t>
  </si>
  <si>
    <t>COLMNA EJE G-1</t>
  </si>
  <si>
    <t>COLMNA EJE G-5</t>
  </si>
  <si>
    <t>COLMNA EJE G-6</t>
  </si>
  <si>
    <t>COLMNA EJE G-8</t>
  </si>
  <si>
    <t>COLMNA EJE G-11</t>
  </si>
  <si>
    <t>COLMNA EJE G-12</t>
  </si>
  <si>
    <t>COLUMNA H-1</t>
  </si>
  <si>
    <t>COLUMNA H-5</t>
  </si>
  <si>
    <t>COLUMNA EJE I-5</t>
  </si>
  <si>
    <t>COLUMNA J-1</t>
  </si>
  <si>
    <t>COLUMNA J-5</t>
  </si>
  <si>
    <t>COLUMNA EJE K-1</t>
  </si>
  <si>
    <t>COLUMNAS A REFORZAR</t>
  </si>
  <si>
    <t>COLUMNA EJE A-1</t>
  </si>
  <si>
    <t>COLUMNA EJE A-3</t>
  </si>
  <si>
    <t>COLUMNA EJE A-5</t>
  </si>
  <si>
    <t>COLUMNA EJE A-12</t>
  </si>
  <si>
    <t>COLUMNA EJE A-14</t>
  </si>
  <si>
    <t>COLUMNA EJE B-6</t>
  </si>
  <si>
    <t>COLUMNA EJE B-11</t>
  </si>
  <si>
    <t>COLUMNA EJE C-8</t>
  </si>
  <si>
    <t>COLUMNA EJE C-9</t>
  </si>
  <si>
    <t>COLUMNA EJE D-5</t>
  </si>
  <si>
    <t>COLUMNA EJE G-9</t>
  </si>
  <si>
    <t>COLUMNA EJE G-16</t>
  </si>
  <si>
    <t>COLUMNA EJE H-12</t>
  </si>
  <si>
    <t>COLUMNA EJE H-14</t>
  </si>
  <si>
    <t>COLUMNA EJE H-16</t>
  </si>
  <si>
    <t>COLUMNA EJE I-6</t>
  </si>
  <si>
    <t>COLUMNA EJE I-8</t>
  </si>
  <si>
    <t>COLUMNA EJE I-9</t>
  </si>
  <si>
    <t>COLUMNA EJE I-11</t>
  </si>
  <si>
    <t>COLUMNAS QUE NO SE MODIFICAN</t>
  </si>
  <si>
    <t>COLUMNA EJE A'-3'</t>
  </si>
  <si>
    <t>COLUMNA EJE A'-13'</t>
  </si>
  <si>
    <t>COLUMNA EJE B'-2'</t>
  </si>
  <si>
    <t>COLUMNA EJE B'-14'</t>
  </si>
  <si>
    <t>COLUMNA EJE C'-1'</t>
  </si>
  <si>
    <t>COLUMNA EJE C'-15'</t>
  </si>
  <si>
    <t>COLUMNA EJE A-6</t>
  </si>
  <si>
    <t>COLUMNA EJE A-11</t>
  </si>
  <si>
    <t>COLUMNA EJE B-8</t>
  </si>
  <si>
    <t>COLUMNA EJE B-9</t>
  </si>
  <si>
    <t>COLUMNA EJE G-13</t>
  </si>
  <si>
    <t>COLUMNA EJE G-15</t>
  </si>
  <si>
    <t>COLUMNA EJE I-12</t>
  </si>
  <si>
    <t>COLUMNA EJE I-14</t>
  </si>
  <si>
    <t>COLUMNA EJE J-16</t>
  </si>
  <si>
    <t>CONSTRUCCION EDIFICIO POSTGRADO</t>
  </si>
  <si>
    <t xml:space="preserve">EXCAVACION </t>
  </si>
  <si>
    <t>RELLENADO Y COMPACTADO</t>
  </si>
  <si>
    <t>% POR ESPONJAMIENTO</t>
  </si>
  <si>
    <t>EJE C' TRAMO 8-9</t>
  </si>
  <si>
    <t>COLUMNAS QUE SE MANTIENEN</t>
  </si>
  <si>
    <t>VIGAS DE Ho.Ao.</t>
  </si>
  <si>
    <t>VIGA EJE 1 TRAMO K-A</t>
  </si>
  <si>
    <t>VIGA EJE 5 TRAMO K-A</t>
  </si>
  <si>
    <t>VIGA EJE 6,11 TRAMO J-A</t>
  </si>
  <si>
    <t>VIGA EJE 8 TRAMO K'-A</t>
  </si>
  <si>
    <t>VIGA EJE 9 TRAMO K'-A</t>
  </si>
  <si>
    <t>VIGA EJE 12 TRAMO K-A</t>
  </si>
  <si>
    <t>VIGA EJE III IV VIII IX TRAMO I-II</t>
  </si>
  <si>
    <t>VIGA EJE 14 TRAMO K-H</t>
  </si>
  <si>
    <t>VIGA EJE 16 TRAMO J-G</t>
  </si>
  <si>
    <t>VIGA EJE 16 TRAMO F-A</t>
  </si>
  <si>
    <t>VIGA EJE A TRAMO 1-6</t>
  </si>
  <si>
    <t>VIGA EJE A TRAMO 11-16</t>
  </si>
  <si>
    <t>VIGA EJE B TRAMO 6-11</t>
  </si>
  <si>
    <t>VIGA EJE F TRAMO 1-5</t>
  </si>
  <si>
    <t>VIGA EJE F TRAMO 12-16</t>
  </si>
  <si>
    <t>VIGA EJE C TRAMO 8-9</t>
  </si>
  <si>
    <t>VIGA EJE E TRAMO 6-11</t>
  </si>
  <si>
    <t>VIGA EJE H TRAMO 12-16</t>
  </si>
  <si>
    <t>VIGA EJE I TRAMO 5-14</t>
  </si>
  <si>
    <t>VIGA EJE G TRAMO 1-16</t>
  </si>
  <si>
    <t>VIGA EJE I,II TRAMO 5-6, TRAMO 11-12</t>
  </si>
  <si>
    <t>VIGA EJE II TRAMO 6-8</t>
  </si>
  <si>
    <t>VIGA EJE VI, VII TRAMO B-C</t>
  </si>
  <si>
    <t>VIGA CURVA TRAMO D-5</t>
  </si>
  <si>
    <t>VIGA EJE INCLINADO TRAMO 1-8'</t>
  </si>
  <si>
    <t>VIGA EJE INCLINADO TRAMO 8'-16</t>
  </si>
  <si>
    <t>VIGAS EJES 6,11 TRAMO J-A</t>
  </si>
  <si>
    <t>VIGA EJE 12 TRAMO I-A</t>
  </si>
  <si>
    <t>VIGA EJE 16 TRAMO J-A</t>
  </si>
  <si>
    <t>VIGAS EJES B,E,I TRAMO 6-11</t>
  </si>
  <si>
    <t>VIGAS EJES 13,15 TRAMO G-F</t>
  </si>
  <si>
    <t>VIGA EJE D TRAMO 5-6</t>
  </si>
  <si>
    <t>VIGA EJE D TRAMO 11-12</t>
  </si>
  <si>
    <t>VIGA EJE INCLINADO TRAMO O-17</t>
  </si>
  <si>
    <t>VIGA EJE G TRAMO 5-16</t>
  </si>
  <si>
    <t>VIGA EJE INCLINADO TRAMO 1-N</t>
  </si>
  <si>
    <t>VIGA EJE INCLINADO TRAMO 21-16</t>
  </si>
  <si>
    <t>ZAPATA TIPO 1</t>
  </si>
  <si>
    <t>ZAPATA TIPO 2</t>
  </si>
  <si>
    <t>ZAPATA TIPO 3</t>
  </si>
  <si>
    <t>ZAPATA TIPO 4</t>
  </si>
  <si>
    <t>ZAPATA TIPO 5</t>
  </si>
  <si>
    <t>ZAPATA TIPO 6</t>
  </si>
  <si>
    <t>ZAPATA TIPO 7</t>
  </si>
  <si>
    <t>ZAPATA TIPO 8</t>
  </si>
  <si>
    <t>ZAPATA TIPO 9</t>
  </si>
  <si>
    <t>ZAPATA TIPO 10</t>
  </si>
  <si>
    <t>ZAPATA TIPO 11</t>
  </si>
  <si>
    <t>ZAPATA TIPO 12</t>
  </si>
  <si>
    <t>ZAPATA TIPO 13</t>
  </si>
  <si>
    <t>ZAPATA TIPO 14</t>
  </si>
  <si>
    <t>ZAPATA TIPO 15</t>
  </si>
  <si>
    <t>ZAPATA TIPO 16</t>
  </si>
  <si>
    <t>COLUMNAS A ENCAMIZAR</t>
  </si>
  <si>
    <t>LOSA ALIVIANADA</t>
  </si>
  <si>
    <t>COLUMNAS EJE B''-1</t>
  </si>
  <si>
    <t>COLUMNAS EJE B''-5</t>
  </si>
  <si>
    <t>COLUMNAS EJE B''-12</t>
  </si>
  <si>
    <t>COLUMNAS EJE B''-16</t>
  </si>
  <si>
    <t>COLUMNA EJE E-6</t>
  </si>
  <si>
    <t>COLUMNA EJE E-8</t>
  </si>
  <si>
    <t>COLUMNA EJE E-9</t>
  </si>
  <si>
    <t>COLUMNA EJE E-11</t>
  </si>
  <si>
    <t>COLUMNA EJE K-3</t>
  </si>
  <si>
    <t>COLUMNA EJE K-5</t>
  </si>
  <si>
    <t>COLUMNA EJE K'-7'</t>
  </si>
  <si>
    <t>COLUMNA EJE L-4</t>
  </si>
  <si>
    <t>COLUMNA EJE M-8'</t>
  </si>
  <si>
    <t>COLUMNA EJE K-12</t>
  </si>
  <si>
    <t>COLUMNA EJE K-14</t>
  </si>
  <si>
    <t>COLUMNA EJE K'-9'</t>
  </si>
  <si>
    <t>COLUMNA EJE J-5'</t>
  </si>
  <si>
    <t>COLUMNA EJE J-6</t>
  </si>
  <si>
    <t>COLUMNA EJE J-11</t>
  </si>
  <si>
    <t>COLUMNA EJE J-11'</t>
  </si>
  <si>
    <t>COLUMNA EJE J-15</t>
  </si>
  <si>
    <t>COLUMNA EJE L-13</t>
  </si>
  <si>
    <t>VIGA EJE B'' TRAMO 1-5</t>
  </si>
  <si>
    <t>VIGA EJE B'' TRAMO 12-16</t>
  </si>
  <si>
    <t>VIGA EJE D TRAMO 1-5</t>
  </si>
  <si>
    <t>VIGA EJE D TRAMO 1-6</t>
  </si>
  <si>
    <t>VIGA EJE E TRAMO 6-8</t>
  </si>
  <si>
    <t>VIGA EJE E TRAMO 8-9</t>
  </si>
  <si>
    <t>VIGA EJE E TRAMO 9-11</t>
  </si>
  <si>
    <t>VIGA EJE I TRAMO 5-6</t>
  </si>
  <si>
    <t>VIGA EJE I TRAMO 11-12</t>
  </si>
  <si>
    <t>VIGA EJE F TRAMO 1-2</t>
  </si>
  <si>
    <t>VIGA EJE F TRAMO 2-4</t>
  </si>
  <si>
    <t>VIGA EJE F TRAMO 4-5</t>
  </si>
  <si>
    <t>VIGA EJE F TRAMO 12-13</t>
  </si>
  <si>
    <t>VIGA EJE F TRAMO 13-15</t>
  </si>
  <si>
    <t>VIGA EJE F TRAMO 15-16</t>
  </si>
  <si>
    <t>VIGA EJE II TRAMO 5-6</t>
  </si>
  <si>
    <t>VIGA EJE II TRAMO 11-12</t>
  </si>
  <si>
    <t>VIGA EJE G TRAMO 1-5</t>
  </si>
  <si>
    <t>VIGA EJE G TRAMO 5-6</t>
  </si>
  <si>
    <t>VIGA EJE G TRAMO 6-8</t>
  </si>
  <si>
    <t>VIGA EJE G TRAMO 8-9</t>
  </si>
  <si>
    <t>VIGA EJE G TRAMO 9-11</t>
  </si>
  <si>
    <t>VIGA EJE G TRAMO 11-12</t>
  </si>
  <si>
    <t>VIGA EJE G TRAMO 12-13</t>
  </si>
  <si>
    <t>VIGA EJE G TRAMO 13-15</t>
  </si>
  <si>
    <t>VIGA EJE G TRAMO 15-16</t>
  </si>
  <si>
    <t>VIGA EJE H TRAMO 1-5</t>
  </si>
  <si>
    <t>VIGA EJE H TRAMO 12-14</t>
  </si>
  <si>
    <t>VIGA EJE H TRAMO 14-16</t>
  </si>
  <si>
    <t>VIGA EJE I TRAMO 6-8</t>
  </si>
  <si>
    <t>VIGA EJE I TRAMO 8-9</t>
  </si>
  <si>
    <t>VIGA EJE I TRAMO 9-11</t>
  </si>
  <si>
    <t>VIGA EJE I TRAMO 12-14</t>
  </si>
  <si>
    <t>VIGA EJE J TRAMO 1-5</t>
  </si>
  <si>
    <t>VIGA PERIMETRAL TRAMO 1-3</t>
  </si>
  <si>
    <t>VIGA PERIMETRAL TRAMO 3-4</t>
  </si>
  <si>
    <t>VIGA PERIMETRAL TRAMO 4-5</t>
  </si>
  <si>
    <t>VIGA PERIMETRAL TRAMO 5-5'</t>
  </si>
  <si>
    <t>VIGA PERIMETRAL TRAMO 5'-6</t>
  </si>
  <si>
    <t>VIGA PERIMETRAL TRAMO 6-7'</t>
  </si>
  <si>
    <t>VIGA PERIMETRAL TRAMO 7'-8'</t>
  </si>
  <si>
    <t>VIGA PERIMETRAL TRAMO 8'-9'</t>
  </si>
  <si>
    <t>VIGA PERIMETRAL TRAMO 9'-11</t>
  </si>
  <si>
    <t>VIGA PERIMETRAL TRAMO 11-11'</t>
  </si>
  <si>
    <t>VIGA PERIMETRAL TRAMO 11'-12</t>
  </si>
  <si>
    <t>VIGA PERIMETRAL TRAMO 12-13</t>
  </si>
  <si>
    <t>VIGA PERIMETRAL TRAMO 13-14</t>
  </si>
  <si>
    <t>VIGA PERIMETRAL TRAMO 14-15</t>
  </si>
  <si>
    <t>VIGA PERIMETRAL TRAMO 15-16</t>
  </si>
  <si>
    <t>VIGA EJE 1 TRAMO A-B''</t>
  </si>
  <si>
    <t>VIGA EJE 1 TRAMO B''-D</t>
  </si>
  <si>
    <t>VIGA EJE 1 TRAMO D-F</t>
  </si>
  <si>
    <t>VIGA EJE 1 TRAMO F-G</t>
  </si>
  <si>
    <t>VIGA EJE 1 TRAMO G-H</t>
  </si>
  <si>
    <t>VIGA EJE 1 TRAMO H-J</t>
  </si>
  <si>
    <t>VIGA EJE 1 TRAMO J-K</t>
  </si>
  <si>
    <t>VIGA EJE 5 TRAMO A-B''</t>
  </si>
  <si>
    <t>VIGA EJE 5 TRAMO B''-D</t>
  </si>
  <si>
    <t>VIGA EJE 5 TRAMO D-F</t>
  </si>
  <si>
    <t>VIGA EJE 5 TRAMO F-G</t>
  </si>
  <si>
    <t>VIGA EJE 5 TRAMO G-H</t>
  </si>
  <si>
    <t>VIGA EJE 5 TRAMO H-I</t>
  </si>
  <si>
    <t>VIGA EJE 5 TRAMO I-J</t>
  </si>
  <si>
    <t>VIGA EJE 5 TRAMO J-K</t>
  </si>
  <si>
    <t>VIGA EJE III TRAMO I-II</t>
  </si>
  <si>
    <t>VIGA EJE IV TRAMO I-II</t>
  </si>
  <si>
    <t>VIGA EJE VIII TRAMO I-II</t>
  </si>
  <si>
    <t>VIGA EJE IX TRAMO I-II</t>
  </si>
  <si>
    <t>VIGA EJE 6 TRAMO A-B</t>
  </si>
  <si>
    <t>VIGA EJE 6 TRAMO B-E</t>
  </si>
  <si>
    <t>VIGA EJE 6 TRAMO E-G</t>
  </si>
  <si>
    <t>VIGA EJE 6 TRAMO G-I</t>
  </si>
  <si>
    <t>VIGA EJE 6 TRAMO I-J</t>
  </si>
  <si>
    <t>VIGA EJE 5 TRAMO II-G</t>
  </si>
  <si>
    <t>VIGA EJE 8 TRAMO B-C</t>
  </si>
  <si>
    <t>VIGA EJE 8 TRAMO C-E</t>
  </si>
  <si>
    <t>VIGA EJE 8 TRAMO E-G</t>
  </si>
  <si>
    <t>VIGA EJE 8 TRAMO G-I</t>
  </si>
  <si>
    <t>VIGA EJE 8 TRAMO I-K'</t>
  </si>
  <si>
    <t>VIGA EJE VI TRAMO B-C</t>
  </si>
  <si>
    <t>VIGA EJE VII TRAMO B-C</t>
  </si>
  <si>
    <t>VIGA EJE 9 TRAMO B-C</t>
  </si>
  <si>
    <t>VIGA EJE 9 TRAMO C-E</t>
  </si>
  <si>
    <t>VIGA EJE 9 TRAMO E-G</t>
  </si>
  <si>
    <t>VIGA EJE 9 TRAMO G-I</t>
  </si>
  <si>
    <t>VIGA EJE 9 TRAMO I-K'</t>
  </si>
  <si>
    <t>VIGA EJE 11 TRAMO I-J</t>
  </si>
  <si>
    <t>VIGA EJE 11 TRAMO A-B</t>
  </si>
  <si>
    <t>VIGA EJE 11 TRAMO B-E</t>
  </si>
  <si>
    <t>VIGA EJE 11 TRAMO E-G</t>
  </si>
  <si>
    <t>VIGA EJE 11 TRAMO G-I</t>
  </si>
  <si>
    <t>VIGA EJE 12 TRAMO A-B''</t>
  </si>
  <si>
    <t>VIGA EJE 12 TRAMO B''-D</t>
  </si>
  <si>
    <t>VIGA EJE 12 TRAMO D-F</t>
  </si>
  <si>
    <t>VIGA EJE 12 TRAMO F-G</t>
  </si>
  <si>
    <t>VIGA EJE 12 TRAMO G-H</t>
  </si>
  <si>
    <t>VIGA EJE 12 TRAMO H-I</t>
  </si>
  <si>
    <t>VIGA EJE 12 TRAMO I-k</t>
  </si>
  <si>
    <t>VIGA EJE 13 TRAMO F-G</t>
  </si>
  <si>
    <t>VIGA EJE 14 TRAMO H-I</t>
  </si>
  <si>
    <t>VIGA EJE 14 TRAMO I-K</t>
  </si>
  <si>
    <t>VIGA EJE 16 TRAMO F-G</t>
  </si>
  <si>
    <t>VIGA EJE 16 TRAMO A-B''</t>
  </si>
  <si>
    <t>VIGA EJE 16 TRAMO B''-D</t>
  </si>
  <si>
    <t>VIGA EJE 16 TRAMO D-F</t>
  </si>
  <si>
    <t>VIGA EJE 16 TRAMO G-H</t>
  </si>
  <si>
    <t>VIGA EJE 16 TRAMO H-J</t>
  </si>
  <si>
    <t>VIGA CURVA TRAMO A-A'</t>
  </si>
  <si>
    <t>VIGA CURVA TRAMO A'-B'</t>
  </si>
  <si>
    <t>VIGA CURVA TRAMO B'-C'</t>
  </si>
  <si>
    <t>VIGA CURVA TRAMO C'-D</t>
  </si>
  <si>
    <t>AREA 1</t>
  </si>
  <si>
    <t>PRIMERA LOSA</t>
  </si>
  <si>
    <t>AREA 2</t>
  </si>
  <si>
    <t>AREA 3</t>
  </si>
  <si>
    <t>AREA 4</t>
  </si>
  <si>
    <t>AREA 5</t>
  </si>
  <si>
    <t>AREA 6</t>
  </si>
  <si>
    <t>AREA 7</t>
  </si>
  <si>
    <t>AREA 8</t>
  </si>
  <si>
    <t>AREA 9</t>
  </si>
  <si>
    <t>AREA 10</t>
  </si>
  <si>
    <t>AREA 11</t>
  </si>
  <si>
    <t>AREA 12</t>
  </si>
  <si>
    <t>AREA 13</t>
  </si>
  <si>
    <t>AREA 14</t>
  </si>
  <si>
    <t>AREA 15</t>
  </si>
  <si>
    <t>AREA 16</t>
  </si>
  <si>
    <t>AREA 17</t>
  </si>
  <si>
    <t>AREA 18</t>
  </si>
  <si>
    <t>AREA 19</t>
  </si>
  <si>
    <t>AREA 20</t>
  </si>
  <si>
    <t>AREA 21</t>
  </si>
  <si>
    <t>AREA 22</t>
  </si>
  <si>
    <t>AREA 23</t>
  </si>
  <si>
    <t>AREA 24</t>
  </si>
  <si>
    <t>AREA 25</t>
  </si>
  <si>
    <t>AREA 26</t>
  </si>
  <si>
    <t>AREA 27</t>
  </si>
  <si>
    <t>AREA 28</t>
  </si>
  <si>
    <t>AREA 29</t>
  </si>
  <si>
    <t>AREA 30</t>
  </si>
  <si>
    <t>AREA 31</t>
  </si>
  <si>
    <t>AREA 32</t>
  </si>
  <si>
    <t>AREA 33</t>
  </si>
  <si>
    <t>AREA 34</t>
  </si>
  <si>
    <t>AREA 35</t>
  </si>
  <si>
    <t>AREA 36</t>
  </si>
  <si>
    <t>AREA 37</t>
  </si>
  <si>
    <t>AREA 38</t>
  </si>
  <si>
    <t>AREA 39</t>
  </si>
  <si>
    <t>AREA 40</t>
  </si>
  <si>
    <t>AREA =</t>
  </si>
  <si>
    <t>TRAMO 1</t>
  </si>
  <si>
    <t>TRAMO 2</t>
  </si>
  <si>
    <t>TRAMO 3</t>
  </si>
  <si>
    <t>TRAMO 4</t>
  </si>
  <si>
    <t>TRAMO 5</t>
  </si>
  <si>
    <t>TRAMO 6</t>
  </si>
  <si>
    <t>TRAMO 7</t>
  </si>
  <si>
    <t>TRAMO 8</t>
  </si>
  <si>
    <t>TRAMO 9</t>
  </si>
  <si>
    <t>GRADAS PRIMER NIVEL</t>
  </si>
  <si>
    <t>AREA 41</t>
  </si>
  <si>
    <t>VIGA EJE K' TRAMO 7'-9'</t>
  </si>
  <si>
    <t>VIG EJE B'', D, H, J TRAMO 1-5, VIG EJEJ B'', D TRAMO 12-16</t>
  </si>
  <si>
    <t>COLUMNA TIPO 1 (EJE A-1, A-3)</t>
  </si>
  <si>
    <t>COLUMNA TIPO 1 (EJE A-11, J-11', J-15, J-16)</t>
  </si>
  <si>
    <t>COLUMNA TIPO 1 (EJE A-6, A-14)</t>
  </si>
  <si>
    <t>COLUMNA TIPO 1 (EJE A-16, G-15, G-16)</t>
  </si>
  <si>
    <t>COLUMNA TIPO 1 (EJE L-13, K-14)</t>
  </si>
  <si>
    <t>COLUMNA TIPO 1 (EJE J-6, J-11)</t>
  </si>
  <si>
    <t>COLUMNA TIPO 1 (EJE J-5')</t>
  </si>
  <si>
    <t>COLUMNA TIPO 2 (EJE B-6)</t>
  </si>
  <si>
    <t>COLUMNA TIPO 3 (EJE B-11)</t>
  </si>
  <si>
    <t>COLUMNA TIPO 4 (EJE C-9)</t>
  </si>
  <si>
    <t>COLUMNA TIPO 4 (EJE C-8)</t>
  </si>
  <si>
    <t>COLUMNA TIPO 5 (EJE G-9)</t>
  </si>
  <si>
    <t>COLUMNA TIPO 6 (EJE I-6, I-11)</t>
  </si>
  <si>
    <t>COLUMNA TIPO 7 (EJE I-8, I-9)</t>
  </si>
  <si>
    <t>COLUMNA TIPO 1 (EJE B''-1, G-1, H-1, J-1)</t>
  </si>
  <si>
    <t>COLUMNA TIPO 1 (EJE D-1)</t>
  </si>
  <si>
    <t>COLUMNA TIPO 1 (EJE B''-5, B''-12)</t>
  </si>
  <si>
    <t>COLUMNA TIPO 1 (EJE B''-16, D-16)</t>
  </si>
  <si>
    <t>COLUMNA TIPO 1 (EJE D-12)</t>
  </si>
  <si>
    <t>COLUMNA TIPO 1 (EJE H-5, J-5)</t>
  </si>
  <si>
    <t>COLUMNA TIPO 2 (EJE E-6)</t>
  </si>
  <si>
    <t>COLUMNA TIPO 2 (EJE E-11)</t>
  </si>
  <si>
    <t>COLUMNA TIPO 2 (EJE G-6)</t>
  </si>
  <si>
    <t>COLUMNA TIPO 2 (EJE G-11)</t>
  </si>
  <si>
    <t>COLUMNA TIPO 2 (EJE G-12)</t>
  </si>
  <si>
    <t>COLUMNA TIPO 3 (EJE E-9)</t>
  </si>
  <si>
    <t>COLUMNA TIPO 3 (EJE G-8)</t>
  </si>
  <si>
    <t>COLUMNA TIPO 3 (EJE E-8)</t>
  </si>
  <si>
    <t>COLUMNA TIPO 4 (EJE F-5, F-12)</t>
  </si>
  <si>
    <t>COLUMNA TIPO 6 (EJE K-3)</t>
  </si>
  <si>
    <t>COLUMNA TIPO 5 (EJES F-15, F-16)</t>
  </si>
  <si>
    <t>COLUMNA TIPO 5 (EJES K-1, L-4)</t>
  </si>
  <si>
    <t>COLUMNA TIPO 5 (EJE F-1)</t>
  </si>
  <si>
    <t>COLUMNA TIPO 5 (EJE K-5)</t>
  </si>
  <si>
    <t>COLUMNA TIPO 6 (EJE I-5)</t>
  </si>
  <si>
    <t>COLUMNA TIPO 7 (EJE F-13)</t>
  </si>
  <si>
    <t>COLUMNA TIPO 8 (EJE M-8')</t>
  </si>
  <si>
    <t>COLUMNA TIPO 8 (EJE K'-7')</t>
  </si>
  <si>
    <t>COLUMNA TIPO 1 (EJE B'-2')</t>
  </si>
  <si>
    <t>COLUMNA TIPO 1 (EJE B'-14')</t>
  </si>
  <si>
    <t>COLUMNA TIPO 2 (EJES A'-3', C'-1')</t>
  </si>
  <si>
    <t>COLUMNA TIPO 2 (EJE A'-13')</t>
  </si>
  <si>
    <t>COLUMNA TIPO 2 (EJE C'-15')</t>
  </si>
  <si>
    <t>COLUMNA TIPO 3 (EJE B-8)</t>
  </si>
  <si>
    <t>COLUMNA TIPO 3 (EJE B-9)</t>
  </si>
  <si>
    <t>COLUMNA TIPO 3 (EJE I-12)</t>
  </si>
  <si>
    <t>COLUMNA TIPO 4 (EJE F-4)</t>
  </si>
  <si>
    <t>COLUMNA TIPO 4 (EJE I-14)</t>
  </si>
  <si>
    <t>COLUMNA TIPO 4 (EJE G-13)</t>
  </si>
  <si>
    <t>COLUMNA TIPO 5 (EJE A-6)</t>
  </si>
  <si>
    <t>COLUMNA TIPO 5 (EJES A-12, H-12, H-16)</t>
  </si>
  <si>
    <t>COLUMNA TIPO 5 (EJE K-12)</t>
  </si>
  <si>
    <t>COLUMNA TIPO 6 (EJE H-14)</t>
  </si>
  <si>
    <t>COLUMNA TIPO 6 (EJE F-2)</t>
  </si>
  <si>
    <t>COLUMNA TIPO 7 (EJE K'-9')</t>
  </si>
  <si>
    <t>COLUMNA EJE F-5</t>
  </si>
  <si>
    <t>LÍQUIDO PAGABLE:</t>
  </si>
  <si>
    <t>PORCENTAJE DE AVANCE TOTAL:</t>
  </si>
  <si>
    <t>MONTO DE AVANCE TOTAL:</t>
  </si>
  <si>
    <t>DESCUENTO POR MULTAS Y SANCIONES:</t>
  </si>
  <si>
    <t>PORCENTAJE DE AVANCE ACTUAL</t>
  </si>
  <si>
    <t>R =</t>
  </si>
  <si>
    <t>MONTO EJECUTADO EN EL PERIODO</t>
  </si>
  <si>
    <t>MONTO TOTAL ACTUALIZADO</t>
  </si>
  <si>
    <t>MONTO TOTAL CONTRATO:</t>
  </si>
  <si>
    <t>TOTAL DESCUENTOS POR MULTAS y /o SANCIONES</t>
  </si>
  <si>
    <t>MENOS MULTAS y /o SANCIONES SEGÚN CONTRATO</t>
  </si>
  <si>
    <t>Nº</t>
  </si>
  <si>
    <t>MONTO</t>
  </si>
  <si>
    <t>CANT.</t>
  </si>
  <si>
    <t xml:space="preserve">CANT. </t>
  </si>
  <si>
    <t>( + / - )</t>
  </si>
  <si>
    <t>%</t>
  </si>
  <si>
    <t>ACUMULADO</t>
  </si>
  <si>
    <t>EN EL PERIODO</t>
  </si>
  <si>
    <t>ANTERIOR</t>
  </si>
  <si>
    <t>PRECIO
TOTAL Bs.</t>
  </si>
  <si>
    <t>CANT.                                       ACT.</t>
  </si>
  <si>
    <t>CANT.
PROGR.</t>
  </si>
  <si>
    <t>SALDO</t>
  </si>
  <si>
    <t>% DE AVANCE</t>
  </si>
  <si>
    <t>CONTRATO ACTUALIZADO</t>
  </si>
  <si>
    <t>ORDEN DE TRABAJO Nº1</t>
  </si>
  <si>
    <t>ORDEN DE CAMBIO Nº1</t>
  </si>
  <si>
    <t>CONTRATO MODIF. Nº1</t>
  </si>
  <si>
    <t>CONTRATO ORIGINAL</t>
  </si>
  <si>
    <t>PRECIO
UNITARIO
Bs.</t>
  </si>
  <si>
    <t>DESCRIPCION</t>
  </si>
  <si>
    <t>AVANCE</t>
  </si>
  <si>
    <t>MONTO DE CONTRATO [Bs.- ] :</t>
  </si>
  <si>
    <t>AL:</t>
  </si>
  <si>
    <t>DEL:</t>
  </si>
  <si>
    <t>PERIODO</t>
  </si>
  <si>
    <t>PLANILLAS ANTERIORES =</t>
  </si>
  <si>
    <t>DIFERENCIA =</t>
  </si>
  <si>
    <t>PLANILLA DE AVANCE DE OBRA     Nº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</si>
</sst>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€_-;\-* #,##0.00\ _€_-;_-* &quot;-&quot;??\ _€_-;_-@_-"/>
    <numFmt numFmtId="165" formatCode="0.0%"/>
    <numFmt numFmtId="167" formatCode="#,##0.00000000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4"/>
      <name val="Times New Roman"/>
      <family val="1"/>
    </font>
    <font>
      <b/>
      <sz val="11"/>
      <name val="Arial"/>
      <family val="2"/>
    </font>
    <font>
      <b/>
      <sz val="12"/>
      <name val="Times New Roman"/>
      <family val="1"/>
    </font>
    <font>
      <sz val="8"/>
      <name val="Arial Narrow"/>
      <family val="2"/>
    </font>
    <font>
      <b/>
      <sz val="8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sz val="9"/>
      <name val="Arial Narrow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10"/>
      <name val="Calibri"/>
      <family val="2"/>
      <scheme val="minor"/>
    </font>
    <font>
      <b/>
      <sz val="9"/>
      <name val="Arial Narrow"/>
      <family val="2"/>
    </font>
    <font>
      <b/>
      <sz val="9"/>
      <color rgb="FF000000"/>
      <name val="Arial Narrow"/>
      <family val="2"/>
    </font>
    <font>
      <b/>
      <sz val="12"/>
      <name val="Chaparral Pro"/>
      <family val="1"/>
    </font>
    <font>
      <b/>
      <sz val="9"/>
      <color theme="0"/>
      <name val="Arial Narrow"/>
      <family val="2"/>
    </font>
    <font>
      <sz val="9"/>
      <color rgb="FF000000"/>
      <name val="Arial Narrow"/>
      <family val="2"/>
    </font>
    <font>
      <b/>
      <sz val="12"/>
      <name val="Arial Narrow"/>
      <family val="2"/>
    </font>
    <font>
      <sz val="7"/>
      <color rgb="FF000000"/>
      <name val="Arial Narrow"/>
      <family val="2"/>
    </font>
    <font>
      <sz val="10"/>
      <name val="Arial"/>
    </font>
    <font>
      <b/>
      <sz val="14"/>
      <name val="Arial Narrow"/>
      <family val="2"/>
    </font>
  </fonts>
  <fills count="1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auto="1"/>
      </patternFill>
    </fill>
    <fill>
      <patternFill patternType="solid">
        <fgColor theme="8" tint="0.39997558519241921"/>
        <bgColor auto="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59999389629810485"/>
        <bgColor indexed="64"/>
      </patternFill>
    </fill>
    <fill>
      <gradientFill degree="90">
        <stop position="0">
          <color theme="0"/>
        </stop>
        <stop position="1">
          <color theme="0" tint="-0.49803155613879818"/>
        </stop>
      </gradientFill>
    </fill>
    <fill>
      <patternFill patternType="solid">
        <fgColor theme="8" tint="0.59999389629810485"/>
        <bgColor indexed="64"/>
      </patternFill>
    </fill>
  </fills>
  <borders count="120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auto="1"/>
      </top>
      <bottom style="thin">
        <color auto="1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/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hair">
        <color indexed="64"/>
      </top>
      <bottom style="thin">
        <color auto="1"/>
      </bottom>
      <diagonal/>
    </border>
  </borders>
  <cellStyleXfs count="18">
    <xf numFmtId="0" fontId="0" fillId="0" borderId="0"/>
    <xf numFmtId="0" fontId="2" fillId="0" borderId="0"/>
    <xf numFmtId="0" fontId="1" fillId="0" borderId="0"/>
    <xf numFmtId="0" fontId="1" fillId="0" borderId="0"/>
    <xf numFmtId="164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0" fontId="1" fillId="0" borderId="0"/>
    <xf numFmtId="0" fontId="3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43">
    <xf numFmtId="0" fontId="0" fillId="0" borderId="0" xfId="0"/>
    <xf numFmtId="0" fontId="2" fillId="0" borderId="0" xfId="10"/>
    <xf numFmtId="0" fontId="2" fillId="0" borderId="0" xfId="10" applyAlignment="1">
      <alignment horizontal="left"/>
    </xf>
    <xf numFmtId="0" fontId="13" fillId="0" borderId="0" xfId="10" applyFont="1" applyAlignment="1">
      <alignment horizontal="left"/>
    </xf>
    <xf numFmtId="0" fontId="2" fillId="0" borderId="5" xfId="10" applyBorder="1" applyAlignment="1">
      <alignment horizontal="left"/>
    </xf>
    <xf numFmtId="0" fontId="6" fillId="0" borderId="5" xfId="10" applyFont="1" applyBorder="1" applyAlignment="1">
      <alignment horizontal="left"/>
    </xf>
    <xf numFmtId="0" fontId="2" fillId="0" borderId="5" xfId="10" applyBorder="1"/>
    <xf numFmtId="0" fontId="6" fillId="0" borderId="0" xfId="10" applyFont="1" applyAlignment="1">
      <alignment horizontal="right"/>
    </xf>
    <xf numFmtId="15" fontId="2" fillId="0" borderId="5" xfId="10" applyNumberFormat="1" applyBorder="1"/>
    <xf numFmtId="0" fontId="7" fillId="0" borderId="0" xfId="10" applyFont="1"/>
    <xf numFmtId="0" fontId="13" fillId="0" borderId="0" xfId="10" applyFont="1" applyAlignment="1">
      <alignment horizontal="left" vertical="center"/>
    </xf>
    <xf numFmtId="0" fontId="8" fillId="0" borderId="0" xfId="10" applyFont="1"/>
    <xf numFmtId="0" fontId="2" fillId="0" borderId="0" xfId="10" applyAlignment="1">
      <alignment horizontal="center" vertical="center"/>
    </xf>
    <xf numFmtId="0" fontId="6" fillId="0" borderId="0" xfId="10" applyFont="1" applyAlignment="1">
      <alignment horizontal="left" vertical="center"/>
    </xf>
    <xf numFmtId="0" fontId="6" fillId="0" borderId="0" xfId="10" applyFont="1"/>
    <xf numFmtId="0" fontId="6" fillId="0" borderId="0" xfId="10" applyFont="1" applyAlignment="1">
      <alignment horizontal="center" vertical="center"/>
    </xf>
    <xf numFmtId="0" fontId="7" fillId="0" borderId="0" xfId="10" applyFont="1" applyAlignment="1">
      <alignment horizontal="right"/>
    </xf>
    <xf numFmtId="0" fontId="7" fillId="0" borderId="0" xfId="10" applyFont="1" applyAlignment="1">
      <alignment horizontal="left"/>
    </xf>
    <xf numFmtId="0" fontId="6" fillId="2" borderId="9" xfId="10" applyFont="1" applyFill="1" applyBorder="1"/>
    <xf numFmtId="0" fontId="2" fillId="0" borderId="13" xfId="10" applyBorder="1"/>
    <xf numFmtId="0" fontId="2" fillId="0" borderId="4" xfId="10" applyBorder="1"/>
    <xf numFmtId="0" fontId="2" fillId="0" borderId="23" xfId="10" applyBorder="1"/>
    <xf numFmtId="0" fontId="4" fillId="0" borderId="4" xfId="10" applyFont="1" applyBorder="1"/>
    <xf numFmtId="0" fontId="7" fillId="0" borderId="4" xfId="10" applyFont="1" applyBorder="1"/>
    <xf numFmtId="4" fontId="2" fillId="0" borderId="0" xfId="10" applyNumberFormat="1"/>
    <xf numFmtId="4" fontId="6" fillId="0" borderId="0" xfId="10" applyNumberFormat="1" applyFont="1"/>
    <xf numFmtId="10" fontId="6" fillId="2" borderId="9" xfId="10" applyNumberFormat="1" applyFont="1" applyFill="1" applyBorder="1"/>
    <xf numFmtId="0" fontId="6" fillId="0" borderId="4" xfId="10" applyFont="1" applyBorder="1"/>
    <xf numFmtId="0" fontId="7" fillId="0" borderId="25" xfId="10" applyFont="1" applyBorder="1"/>
    <xf numFmtId="0" fontId="2" fillId="0" borderId="2" xfId="10" applyBorder="1"/>
    <xf numFmtId="4" fontId="6" fillId="0" borderId="2" xfId="10" applyNumberFormat="1" applyFont="1" applyBorder="1"/>
    <xf numFmtId="0" fontId="4" fillId="0" borderId="26" xfId="10" applyFont="1" applyBorder="1"/>
    <xf numFmtId="0" fontId="9" fillId="0" borderId="22" xfId="10" applyFont="1" applyBorder="1"/>
    <xf numFmtId="0" fontId="10" fillId="0" borderId="15" xfId="10" applyFont="1" applyBorder="1"/>
    <xf numFmtId="0" fontId="2" fillId="0" borderId="15" xfId="10" applyBorder="1"/>
    <xf numFmtId="0" fontId="10" fillId="0" borderId="24" xfId="10" applyFont="1" applyBorder="1" applyAlignment="1">
      <alignment vertical="top"/>
    </xf>
    <xf numFmtId="0" fontId="10" fillId="0" borderId="0" xfId="10" applyFont="1" applyAlignment="1">
      <alignment vertical="top"/>
    </xf>
    <xf numFmtId="0" fontId="10" fillId="0" borderId="4" xfId="10" applyFont="1" applyBorder="1" applyAlignment="1">
      <alignment vertical="top"/>
    </xf>
    <xf numFmtId="0" fontId="10" fillId="0" borderId="25" xfId="10" applyFont="1" applyBorder="1" applyAlignment="1">
      <alignment vertical="top"/>
    </xf>
    <xf numFmtId="0" fontId="10" fillId="0" borderId="2" xfId="10" applyFont="1" applyBorder="1" applyAlignment="1">
      <alignment vertical="top"/>
    </xf>
    <xf numFmtId="0" fontId="10" fillId="0" borderId="26" xfId="10" applyFont="1" applyBorder="1" applyAlignment="1">
      <alignment vertical="top"/>
    </xf>
    <xf numFmtId="0" fontId="10" fillId="0" borderId="0" xfId="10" applyFont="1"/>
    <xf numFmtId="0" fontId="10" fillId="0" borderId="0" xfId="10" applyFont="1" applyAlignment="1">
      <alignment horizontal="center"/>
    </xf>
    <xf numFmtId="0" fontId="7" fillId="0" borderId="5" xfId="10" applyFont="1" applyBorder="1"/>
    <xf numFmtId="0" fontId="10" fillId="0" borderId="0" xfId="10" applyFont="1" applyAlignment="1">
      <alignment horizontal="right"/>
    </xf>
    <xf numFmtId="15" fontId="7" fillId="0" borderId="5" xfId="10" applyNumberFormat="1" applyFont="1" applyBorder="1"/>
    <xf numFmtId="0" fontId="7" fillId="0" borderId="0" xfId="10" applyFont="1" applyAlignment="1">
      <alignment horizontal="center"/>
    </xf>
    <xf numFmtId="0" fontId="19" fillId="0" borderId="0" xfId="1" applyFont="1"/>
    <xf numFmtId="2" fontId="19" fillId="0" borderId="0" xfId="1" applyNumberFormat="1" applyFont="1" applyAlignment="1">
      <alignment vertical="center"/>
    </xf>
    <xf numFmtId="2" fontId="19" fillId="0" borderId="0" xfId="1" applyNumberFormat="1" applyFont="1" applyAlignment="1">
      <alignment horizontal="center" vertical="center"/>
    </xf>
    <xf numFmtId="0" fontId="19" fillId="0" borderId="56" xfId="1" applyFont="1" applyBorder="1"/>
    <xf numFmtId="2" fontId="19" fillId="0" borderId="58" xfId="1" applyNumberFormat="1" applyFont="1" applyBorder="1" applyAlignment="1">
      <alignment vertical="center"/>
    </xf>
    <xf numFmtId="0" fontId="20" fillId="0" borderId="0" xfId="1" applyFont="1"/>
    <xf numFmtId="0" fontId="21" fillId="0" borderId="5" xfId="1" applyFont="1" applyBorder="1"/>
    <xf numFmtId="0" fontId="21" fillId="0" borderId="0" xfId="1" applyFont="1"/>
    <xf numFmtId="0" fontId="22" fillId="0" borderId="1" xfId="1" applyFont="1" applyBorder="1" applyAlignment="1">
      <alignment horizontal="center"/>
    </xf>
    <xf numFmtId="2" fontId="19" fillId="0" borderId="59" xfId="1" applyNumberFormat="1" applyFont="1" applyBorder="1" applyAlignment="1">
      <alignment vertical="center"/>
    </xf>
    <xf numFmtId="0" fontId="20" fillId="0" borderId="28" xfId="1" applyFont="1" applyBorder="1"/>
    <xf numFmtId="0" fontId="21" fillId="0" borderId="28" xfId="1" applyFont="1" applyBorder="1"/>
    <xf numFmtId="165" fontId="21" fillId="0" borderId="0" xfId="13" applyNumberFormat="1" applyFont="1" applyBorder="1"/>
    <xf numFmtId="4" fontId="21" fillId="0" borderId="0" xfId="1" applyNumberFormat="1" applyFont="1" applyAlignment="1">
      <alignment horizontal="left"/>
    </xf>
    <xf numFmtId="2" fontId="19" fillId="0" borderId="9" xfId="1" applyNumberFormat="1" applyFont="1" applyBorder="1" applyAlignment="1">
      <alignment vertical="center"/>
    </xf>
    <xf numFmtId="2" fontId="19" fillId="0" borderId="9" xfId="1" applyNumberFormat="1" applyFont="1" applyBorder="1" applyAlignment="1">
      <alignment horizontal="center" vertical="center"/>
    </xf>
    <xf numFmtId="2" fontId="23" fillId="7" borderId="60" xfId="1" applyNumberFormat="1" applyFont="1" applyFill="1" applyBorder="1" applyAlignment="1">
      <alignment horizontal="center" vertical="center"/>
    </xf>
    <xf numFmtId="0" fontId="23" fillId="7" borderId="9" xfId="1" applyFont="1" applyFill="1" applyBorder="1" applyAlignment="1">
      <alignment horizontal="center" vertical="center"/>
    </xf>
    <xf numFmtId="0" fontId="24" fillId="7" borderId="9" xfId="2" applyFont="1" applyFill="1" applyBorder="1" applyAlignment="1">
      <alignment vertical="center" wrapText="1"/>
    </xf>
    <xf numFmtId="0" fontId="23" fillId="7" borderId="61" xfId="1" applyFont="1" applyFill="1" applyBorder="1" applyAlignment="1">
      <alignment horizontal="center" vertical="center"/>
    </xf>
    <xf numFmtId="2" fontId="19" fillId="0" borderId="51" xfId="1" applyNumberFormat="1" applyFont="1" applyBorder="1" applyAlignment="1">
      <alignment vertical="center"/>
    </xf>
    <xf numFmtId="2" fontId="19" fillId="0" borderId="33" xfId="1" applyNumberFormat="1" applyFont="1" applyBorder="1" applyAlignment="1">
      <alignment vertical="center"/>
    </xf>
    <xf numFmtId="2" fontId="19" fillId="0" borderId="33" xfId="1" applyNumberFormat="1" applyFont="1" applyBorder="1" applyAlignment="1">
      <alignment horizontal="center" vertical="center"/>
    </xf>
    <xf numFmtId="2" fontId="19" fillId="0" borderId="53" xfId="1" applyNumberFormat="1" applyFont="1" applyBorder="1" applyAlignment="1">
      <alignment vertical="center"/>
    </xf>
    <xf numFmtId="2" fontId="19" fillId="0" borderId="53" xfId="1" applyNumberFormat="1" applyFont="1" applyBorder="1" applyAlignment="1">
      <alignment horizontal="center" vertical="center"/>
    </xf>
    <xf numFmtId="2" fontId="19" fillId="0" borderId="52" xfId="1" applyNumberFormat="1" applyFont="1" applyBorder="1" applyAlignment="1">
      <alignment vertical="center"/>
    </xf>
    <xf numFmtId="2" fontId="19" fillId="0" borderId="52" xfId="1" applyNumberFormat="1" applyFont="1" applyBorder="1" applyAlignment="1">
      <alignment horizontal="center" vertical="center"/>
    </xf>
    <xf numFmtId="0" fontId="19" fillId="7" borderId="9" xfId="1" applyFont="1" applyFill="1" applyBorder="1" applyAlignment="1">
      <alignment vertical="center"/>
    </xf>
    <xf numFmtId="2" fontId="19" fillId="7" borderId="9" xfId="1" applyNumberFormat="1" applyFont="1" applyFill="1" applyBorder="1" applyAlignment="1">
      <alignment vertical="center"/>
    </xf>
    <xf numFmtId="2" fontId="19" fillId="7" borderId="9" xfId="1" applyNumberFormat="1" applyFont="1" applyFill="1" applyBorder="1" applyAlignment="1">
      <alignment horizontal="center" vertical="center"/>
    </xf>
    <xf numFmtId="0" fontId="19" fillId="0" borderId="59" xfId="1" applyFont="1" applyBorder="1" applyAlignment="1">
      <alignment horizontal="center" vertical="center"/>
    </xf>
    <xf numFmtId="0" fontId="23" fillId="0" borderId="0" xfId="1" applyFont="1" applyAlignment="1">
      <alignment horizontal="center"/>
    </xf>
    <xf numFmtId="0" fontId="23" fillId="0" borderId="0" xfId="1" applyFont="1" applyAlignment="1">
      <alignment horizontal="left"/>
    </xf>
    <xf numFmtId="0" fontId="19" fillId="0" borderId="1" xfId="1" applyFont="1" applyBorder="1"/>
    <xf numFmtId="0" fontId="19" fillId="0" borderId="59" xfId="1" applyFont="1" applyBorder="1"/>
    <xf numFmtId="0" fontId="19" fillId="0" borderId="0" xfId="1" applyFont="1" applyAlignment="1">
      <alignment horizontal="center"/>
    </xf>
    <xf numFmtId="0" fontId="22" fillId="0" borderId="0" xfId="1" applyFont="1" applyAlignment="1">
      <alignment horizontal="center" vertical="center"/>
    </xf>
    <xf numFmtId="0" fontId="20" fillId="0" borderId="1" xfId="1" applyFont="1" applyBorder="1" applyAlignment="1">
      <alignment horizontal="center" vertical="center"/>
    </xf>
    <xf numFmtId="0" fontId="22" fillId="0" borderId="5" xfId="1" applyFont="1" applyBorder="1"/>
    <xf numFmtId="0" fontId="22" fillId="0" borderId="0" xfId="1" applyFont="1"/>
    <xf numFmtId="0" fontId="19" fillId="0" borderId="58" xfId="1" applyFont="1" applyBorder="1"/>
    <xf numFmtId="0" fontId="22" fillId="0" borderId="71" xfId="1" applyFont="1" applyBorder="1" applyAlignment="1">
      <alignment horizontal="center"/>
    </xf>
    <xf numFmtId="0" fontId="19" fillId="0" borderId="72" xfId="1" applyFont="1" applyBorder="1"/>
    <xf numFmtId="0" fontId="22" fillId="0" borderId="54" xfId="1" applyFont="1" applyBorder="1"/>
    <xf numFmtId="0" fontId="22" fillId="0" borderId="73" xfId="1" applyFont="1" applyBorder="1" applyAlignment="1">
      <alignment horizontal="center"/>
    </xf>
    <xf numFmtId="2" fontId="19" fillId="0" borderId="75" xfId="1" applyNumberFormat="1" applyFont="1" applyBorder="1" applyAlignment="1">
      <alignment vertical="center"/>
    </xf>
    <xf numFmtId="0" fontId="23" fillId="0" borderId="33" xfId="1" applyFont="1" applyBorder="1" applyAlignment="1">
      <alignment horizontal="center" vertical="center"/>
    </xf>
    <xf numFmtId="0" fontId="27" fillId="0" borderId="33" xfId="2" applyFont="1" applyBorder="1" applyAlignment="1">
      <alignment vertical="center" wrapText="1"/>
    </xf>
    <xf numFmtId="2" fontId="19" fillId="0" borderId="75" xfId="1" applyNumberFormat="1" applyFont="1" applyBorder="1" applyAlignment="1">
      <alignment horizontal="center" vertical="center"/>
    </xf>
    <xf numFmtId="2" fontId="23" fillId="0" borderId="77" xfId="1" applyNumberFormat="1" applyFont="1" applyBorder="1" applyAlignment="1">
      <alignment horizontal="center" vertical="center"/>
    </xf>
    <xf numFmtId="0" fontId="19" fillId="0" borderId="50" xfId="1" applyFont="1" applyBorder="1" applyAlignment="1">
      <alignment vertical="center"/>
    </xf>
    <xf numFmtId="2" fontId="19" fillId="0" borderId="50" xfId="1" applyNumberFormat="1" applyFont="1" applyBorder="1" applyAlignment="1">
      <alignment vertical="center"/>
    </xf>
    <xf numFmtId="2" fontId="19" fillId="0" borderId="50" xfId="1" applyNumberFormat="1" applyFont="1" applyBorder="1" applyAlignment="1">
      <alignment horizontal="center" vertical="center"/>
    </xf>
    <xf numFmtId="0" fontId="23" fillId="0" borderId="50" xfId="1" applyFont="1" applyBorder="1" applyAlignment="1">
      <alignment horizontal="center" vertical="center"/>
    </xf>
    <xf numFmtId="0" fontId="24" fillId="0" borderId="50" xfId="2" applyFont="1" applyBorder="1" applyAlignment="1">
      <alignment vertical="center" wrapText="1"/>
    </xf>
    <xf numFmtId="0" fontId="23" fillId="0" borderId="78" xfId="1" applyFont="1" applyBorder="1" applyAlignment="1">
      <alignment horizontal="center" vertical="center"/>
    </xf>
    <xf numFmtId="0" fontId="23" fillId="0" borderId="61" xfId="1" applyFont="1" applyBorder="1" applyAlignment="1">
      <alignment horizontal="center" vertical="center"/>
    </xf>
    <xf numFmtId="0" fontId="23" fillId="0" borderId="52" xfId="1" applyFont="1" applyBorder="1" applyAlignment="1">
      <alignment horizontal="center" vertical="center"/>
    </xf>
    <xf numFmtId="0" fontId="24" fillId="0" borderId="52" xfId="2" applyFont="1" applyBorder="1" applyAlignment="1">
      <alignment vertical="center" wrapText="1"/>
    </xf>
    <xf numFmtId="0" fontId="23" fillId="0" borderId="0" xfId="1" applyFont="1"/>
    <xf numFmtId="2" fontId="23" fillId="0" borderId="66" xfId="1" applyNumberFormat="1" applyFont="1" applyBorder="1" applyAlignment="1">
      <alignment horizontal="center" vertical="center"/>
    </xf>
    <xf numFmtId="0" fontId="23" fillId="0" borderId="64" xfId="1" applyFont="1" applyBorder="1" applyAlignment="1">
      <alignment horizontal="center" vertical="center"/>
    </xf>
    <xf numFmtId="2" fontId="19" fillId="0" borderId="44" xfId="1" applyNumberFormat="1" applyFont="1" applyBorder="1" applyAlignment="1">
      <alignment vertical="center"/>
    </xf>
    <xf numFmtId="2" fontId="19" fillId="0" borderId="44" xfId="1" applyNumberFormat="1" applyFont="1" applyBorder="1" applyAlignment="1">
      <alignment horizontal="center" vertical="center"/>
    </xf>
    <xf numFmtId="0" fontId="27" fillId="0" borderId="53" xfId="2" applyFont="1" applyBorder="1" applyAlignment="1">
      <alignment vertical="center" wrapText="1"/>
    </xf>
    <xf numFmtId="0" fontId="27" fillId="0" borderId="52" xfId="2" applyFont="1" applyBorder="1" applyAlignment="1">
      <alignment vertical="center" wrapText="1"/>
    </xf>
    <xf numFmtId="2" fontId="23" fillId="0" borderId="65" xfId="1" applyNumberFormat="1" applyFont="1" applyBorder="1" applyAlignment="1">
      <alignment horizontal="center" vertical="center"/>
    </xf>
    <xf numFmtId="0" fontId="19" fillId="0" borderId="33" xfId="1" applyFont="1" applyBorder="1" applyAlignment="1">
      <alignment vertical="center"/>
    </xf>
    <xf numFmtId="0" fontId="23" fillId="0" borderId="62" xfId="1" applyFont="1" applyBorder="1" applyAlignment="1">
      <alignment horizontal="center" vertical="center"/>
    </xf>
    <xf numFmtId="0" fontId="23" fillId="0" borderId="68" xfId="1" applyFont="1" applyBorder="1" applyAlignment="1">
      <alignment horizontal="center" vertical="center"/>
    </xf>
    <xf numFmtId="2" fontId="23" fillId="0" borderId="63" xfId="1" applyNumberFormat="1" applyFont="1" applyBorder="1" applyAlignment="1">
      <alignment horizontal="center" vertical="center"/>
    </xf>
    <xf numFmtId="0" fontId="23" fillId="0" borderId="67" xfId="1" applyFont="1" applyBorder="1" applyAlignment="1">
      <alignment horizontal="center" vertical="center"/>
    </xf>
    <xf numFmtId="0" fontId="24" fillId="0" borderId="33" xfId="2" applyFont="1" applyBorder="1" applyAlignment="1">
      <alignment vertical="center" wrapText="1"/>
    </xf>
    <xf numFmtId="2" fontId="23" fillId="0" borderId="60" xfId="1" applyNumberFormat="1" applyFont="1" applyBorder="1" applyAlignment="1">
      <alignment horizontal="center" vertical="center"/>
    </xf>
    <xf numFmtId="0" fontId="19" fillId="0" borderId="9" xfId="1" applyFont="1" applyBorder="1" applyAlignment="1">
      <alignment vertical="center"/>
    </xf>
    <xf numFmtId="0" fontId="23" fillId="0" borderId="9" xfId="1" applyFont="1" applyBorder="1" applyAlignment="1">
      <alignment horizontal="center" vertical="center"/>
    </xf>
    <xf numFmtId="0" fontId="27" fillId="0" borderId="9" xfId="2" applyFont="1" applyBorder="1" applyAlignment="1">
      <alignment vertical="center" wrapText="1"/>
    </xf>
    <xf numFmtId="0" fontId="19" fillId="0" borderId="52" xfId="1" applyFont="1" applyBorder="1" applyAlignment="1">
      <alignment vertical="center"/>
    </xf>
    <xf numFmtId="0" fontId="26" fillId="9" borderId="9" xfId="1" applyFont="1" applyFill="1" applyBorder="1" applyAlignment="1">
      <alignment horizontal="center"/>
    </xf>
    <xf numFmtId="0" fontId="21" fillId="0" borderId="0" xfId="1" applyFont="1" applyAlignment="1">
      <alignment horizontal="center"/>
    </xf>
    <xf numFmtId="2" fontId="21" fillId="0" borderId="0" xfId="1" applyNumberFormat="1" applyFont="1"/>
    <xf numFmtId="0" fontId="19" fillId="0" borderId="51" xfId="1" applyFont="1" applyBorder="1" applyAlignment="1">
      <alignment vertical="center"/>
    </xf>
    <xf numFmtId="0" fontId="23" fillId="0" borderId="80" xfId="1" applyFont="1" applyBorder="1" applyAlignment="1">
      <alignment horizontal="center" vertical="center"/>
    </xf>
    <xf numFmtId="2" fontId="23" fillId="0" borderId="79" xfId="1" applyNumberFormat="1" applyFont="1" applyBorder="1" applyAlignment="1">
      <alignment horizontal="center" vertical="center"/>
    </xf>
    <xf numFmtId="2" fontId="23" fillId="0" borderId="0" xfId="1" applyNumberFormat="1" applyFont="1"/>
    <xf numFmtId="4" fontId="23" fillId="0" borderId="0" xfId="1" applyNumberFormat="1" applyFont="1"/>
    <xf numFmtId="4" fontId="19" fillId="0" borderId="0" xfId="1" applyNumberFormat="1" applyFont="1"/>
    <xf numFmtId="0" fontId="19" fillId="0" borderId="0" xfId="1" applyFont="1" applyAlignment="1">
      <alignment horizontal="right"/>
    </xf>
    <xf numFmtId="0" fontId="19" fillId="0" borderId="44" xfId="1" applyFont="1" applyBorder="1" applyAlignment="1">
      <alignment vertical="center"/>
    </xf>
    <xf numFmtId="0" fontId="24" fillId="7" borderId="33" xfId="2" applyFont="1" applyFill="1" applyBorder="1" applyAlignment="1">
      <alignment vertical="center" wrapText="1"/>
    </xf>
    <xf numFmtId="0" fontId="27" fillId="7" borderId="33" xfId="2" applyFont="1" applyFill="1" applyBorder="1" applyAlignment="1">
      <alignment vertical="center" wrapText="1"/>
    </xf>
    <xf numFmtId="0" fontId="24" fillId="0" borderId="44" xfId="2" applyFont="1" applyBorder="1" applyAlignment="1">
      <alignment vertical="center" wrapText="1"/>
    </xf>
    <xf numFmtId="0" fontId="23" fillId="0" borderId="44" xfId="1" applyFont="1" applyBorder="1" applyAlignment="1">
      <alignment horizontal="center" vertical="center"/>
    </xf>
    <xf numFmtId="0" fontId="23" fillId="0" borderId="53" xfId="1" applyFont="1" applyBorder="1" applyAlignment="1">
      <alignment horizontal="center" vertical="center"/>
    </xf>
    <xf numFmtId="0" fontId="19" fillId="0" borderId="53" xfId="1" applyFont="1" applyBorder="1" applyAlignment="1">
      <alignment vertical="center"/>
    </xf>
    <xf numFmtId="0" fontId="24" fillId="0" borderId="53" xfId="2" applyFont="1" applyBorder="1" applyAlignment="1">
      <alignment vertical="center" wrapText="1"/>
    </xf>
    <xf numFmtId="0" fontId="23" fillId="0" borderId="76" xfId="1" applyFont="1" applyBorder="1" applyAlignment="1">
      <alignment horizontal="center" vertical="center"/>
    </xf>
    <xf numFmtId="0" fontId="23" fillId="0" borderId="75" xfId="1" applyFont="1" applyBorder="1" applyAlignment="1">
      <alignment horizontal="center" vertical="center"/>
    </xf>
    <xf numFmtId="0" fontId="19" fillId="0" borderId="75" xfId="1" applyFont="1" applyBorder="1" applyAlignment="1">
      <alignment vertical="center"/>
    </xf>
    <xf numFmtId="2" fontId="23" fillId="0" borderId="74" xfId="1" applyNumberFormat="1" applyFont="1" applyBorder="1" applyAlignment="1">
      <alignment horizontal="center" vertical="center"/>
    </xf>
    <xf numFmtId="0" fontId="27" fillId="0" borderId="75" xfId="2" applyFont="1" applyBorder="1" applyAlignment="1">
      <alignment vertical="center" wrapText="1"/>
    </xf>
    <xf numFmtId="0" fontId="23" fillId="7" borderId="33" xfId="1" applyFont="1" applyFill="1" applyBorder="1" applyAlignment="1">
      <alignment horizontal="center" vertical="center"/>
    </xf>
    <xf numFmtId="2" fontId="19" fillId="7" borderId="33" xfId="1" applyNumberFormat="1" applyFont="1" applyFill="1" applyBorder="1" applyAlignment="1">
      <alignment horizontal="center" vertical="center"/>
    </xf>
    <xf numFmtId="2" fontId="19" fillId="7" borderId="33" xfId="1" applyNumberFormat="1" applyFont="1" applyFill="1" applyBorder="1" applyAlignment="1">
      <alignment vertical="center"/>
    </xf>
    <xf numFmtId="0" fontId="24" fillId="0" borderId="9" xfId="2" applyFont="1" applyBorder="1" applyAlignment="1">
      <alignment vertical="center" wrapText="1"/>
    </xf>
    <xf numFmtId="0" fontId="23" fillId="0" borderId="1" xfId="1" applyFont="1" applyBorder="1" applyAlignment="1">
      <alignment horizontal="center" vertical="center"/>
    </xf>
    <xf numFmtId="0" fontId="23" fillId="0" borderId="0" xfId="1" applyFont="1" applyAlignment="1">
      <alignment horizontal="center" vertical="center"/>
    </xf>
    <xf numFmtId="0" fontId="19" fillId="0" borderId="0" xfId="1" applyFont="1" applyAlignment="1">
      <alignment vertical="center"/>
    </xf>
    <xf numFmtId="2" fontId="23" fillId="0" borderId="59" xfId="1" applyNumberFormat="1" applyFont="1" applyBorder="1" applyAlignment="1">
      <alignment horizontal="center" vertical="center"/>
    </xf>
    <xf numFmtId="0" fontId="27" fillId="0" borderId="0" xfId="2" applyFont="1" applyAlignment="1">
      <alignment vertical="center" wrapText="1"/>
    </xf>
    <xf numFmtId="0" fontId="19" fillId="0" borderId="57" xfId="1" applyFont="1" applyBorder="1"/>
    <xf numFmtId="0" fontId="19" fillId="0" borderId="55" xfId="1" applyFont="1" applyBorder="1"/>
    <xf numFmtId="2" fontId="19" fillId="0" borderId="53" xfId="1" applyNumberFormat="1" applyFont="1" applyBorder="1" applyAlignment="1">
      <alignment horizontal="right" vertical="center"/>
    </xf>
    <xf numFmtId="0" fontId="27" fillId="0" borderId="44" xfId="2" applyFont="1" applyBorder="1" applyAlignment="1">
      <alignment vertical="center" wrapText="1"/>
    </xf>
    <xf numFmtId="0" fontId="27" fillId="0" borderId="51" xfId="2" applyFont="1" applyBorder="1" applyAlignment="1">
      <alignment vertical="center" wrapText="1"/>
    </xf>
    <xf numFmtId="0" fontId="23" fillId="0" borderId="51" xfId="1" applyFont="1" applyBorder="1" applyAlignment="1">
      <alignment horizontal="center" vertical="center"/>
    </xf>
    <xf numFmtId="2" fontId="19" fillId="0" borderId="51" xfId="1" applyNumberFormat="1" applyFont="1" applyBorder="1" applyAlignment="1">
      <alignment horizontal="center" vertical="center"/>
    </xf>
    <xf numFmtId="2" fontId="23" fillId="0" borderId="83" xfId="1" applyNumberFormat="1" applyFont="1" applyBorder="1" applyAlignment="1">
      <alignment horizontal="center" vertical="center"/>
    </xf>
    <xf numFmtId="0" fontId="24" fillId="0" borderId="51" xfId="2" applyFont="1" applyBorder="1" applyAlignment="1">
      <alignment vertical="center" wrapText="1"/>
    </xf>
    <xf numFmtId="0" fontId="27" fillId="7" borderId="51" xfId="2" applyFont="1" applyFill="1" applyBorder="1" applyAlignment="1">
      <alignment vertical="center" wrapText="1"/>
    </xf>
    <xf numFmtId="0" fontId="23" fillId="7" borderId="51" xfId="1" applyFont="1" applyFill="1" applyBorder="1" applyAlignment="1">
      <alignment horizontal="center" vertical="center"/>
    </xf>
    <xf numFmtId="2" fontId="19" fillId="7" borderId="51" xfId="1" applyNumberFormat="1" applyFont="1" applyFill="1" applyBorder="1" applyAlignment="1">
      <alignment horizontal="center" vertical="center"/>
    </xf>
    <xf numFmtId="2" fontId="19" fillId="7" borderId="51" xfId="1" applyNumberFormat="1" applyFont="1" applyFill="1" applyBorder="1" applyAlignment="1">
      <alignment vertical="center"/>
    </xf>
    <xf numFmtId="2" fontId="19" fillId="0" borderId="85" xfId="1" applyNumberFormat="1" applyFont="1" applyBorder="1" applyAlignment="1">
      <alignment vertical="center"/>
    </xf>
    <xf numFmtId="0" fontId="19" fillId="0" borderId="85" xfId="1" applyFont="1" applyBorder="1" applyAlignment="1">
      <alignment vertical="center"/>
    </xf>
    <xf numFmtId="2" fontId="23" fillId="0" borderId="86" xfId="1" applyNumberFormat="1" applyFont="1" applyBorder="1" applyAlignment="1">
      <alignment horizontal="center" vertical="center"/>
    </xf>
    <xf numFmtId="0" fontId="23" fillId="7" borderId="61" xfId="10" applyFont="1" applyFill="1" applyBorder="1" applyAlignment="1">
      <alignment horizontal="center" vertical="center"/>
    </xf>
    <xf numFmtId="0" fontId="24" fillId="7" borderId="9" xfId="14" applyFont="1" applyFill="1" applyBorder="1" applyAlignment="1">
      <alignment vertical="center" wrapText="1"/>
    </xf>
    <xf numFmtId="0" fontId="23" fillId="7" borderId="9" xfId="10" applyFont="1" applyFill="1" applyBorder="1" applyAlignment="1">
      <alignment horizontal="center" vertical="center"/>
    </xf>
    <xf numFmtId="2" fontId="19" fillId="7" borderId="9" xfId="10" applyNumberFormat="1" applyFont="1" applyFill="1" applyBorder="1" applyAlignment="1">
      <alignment horizontal="center" vertical="center"/>
    </xf>
    <xf numFmtId="2" fontId="19" fillId="7" borderId="9" xfId="10" applyNumberFormat="1" applyFont="1" applyFill="1" applyBorder="1" applyAlignment="1">
      <alignment vertical="center"/>
    </xf>
    <xf numFmtId="0" fontId="23" fillId="0" borderId="68" xfId="10" applyFont="1" applyBorder="1" applyAlignment="1">
      <alignment horizontal="center" vertical="center"/>
    </xf>
    <xf numFmtId="0" fontId="24" fillId="0" borderId="50" xfId="14" applyFont="1" applyBorder="1" applyAlignment="1">
      <alignment vertical="center" wrapText="1"/>
    </xf>
    <xf numFmtId="0" fontId="23" fillId="0" borderId="50" xfId="10" applyFont="1" applyBorder="1" applyAlignment="1">
      <alignment horizontal="center" vertical="center"/>
    </xf>
    <xf numFmtId="2" fontId="19" fillId="0" borderId="50" xfId="10" applyNumberFormat="1" applyFont="1" applyBorder="1" applyAlignment="1">
      <alignment horizontal="center" vertical="center"/>
    </xf>
    <xf numFmtId="2" fontId="19" fillId="0" borderId="50" xfId="10" applyNumberFormat="1" applyFont="1" applyBorder="1" applyAlignment="1">
      <alignment vertical="center"/>
    </xf>
    <xf numFmtId="0" fontId="23" fillId="0" borderId="64" xfId="10" applyFont="1" applyBorder="1" applyAlignment="1">
      <alignment horizontal="center" vertical="center"/>
    </xf>
    <xf numFmtId="0" fontId="27" fillId="0" borderId="52" xfId="14" applyFont="1" applyBorder="1" applyAlignment="1">
      <alignment vertical="center" wrapText="1"/>
    </xf>
    <xf numFmtId="0" fontId="23" fillId="0" borderId="52" xfId="10" applyFont="1" applyBorder="1" applyAlignment="1">
      <alignment horizontal="center" vertical="center"/>
    </xf>
    <xf numFmtId="2" fontId="19" fillId="0" borderId="52" xfId="10" applyNumberFormat="1" applyFont="1" applyBorder="1" applyAlignment="1">
      <alignment horizontal="center" vertical="center"/>
    </xf>
    <xf numFmtId="2" fontId="19" fillId="0" borderId="52" xfId="10" applyNumberFormat="1" applyFont="1" applyBorder="1" applyAlignment="1">
      <alignment vertical="center"/>
    </xf>
    <xf numFmtId="0" fontId="23" fillId="0" borderId="67" xfId="10" applyFont="1" applyBorder="1" applyAlignment="1">
      <alignment horizontal="center" vertical="center"/>
    </xf>
    <xf numFmtId="0" fontId="27" fillId="0" borderId="33" xfId="14" applyFont="1" applyBorder="1" applyAlignment="1">
      <alignment vertical="center" wrapText="1"/>
    </xf>
    <xf numFmtId="0" fontId="23" fillId="0" borderId="33" xfId="10" applyFont="1" applyBorder="1" applyAlignment="1">
      <alignment horizontal="center" vertical="center"/>
    </xf>
    <xf numFmtId="2" fontId="19" fillId="0" borderId="33" xfId="10" applyNumberFormat="1" applyFont="1" applyBorder="1" applyAlignment="1">
      <alignment horizontal="center" vertical="center"/>
    </xf>
    <xf numFmtId="2" fontId="19" fillId="0" borderId="33" xfId="10" applyNumberFormat="1" applyFont="1" applyBorder="1" applyAlignment="1">
      <alignment vertical="center"/>
    </xf>
    <xf numFmtId="0" fontId="23" fillId="0" borderId="78" xfId="10" applyFont="1" applyBorder="1" applyAlignment="1">
      <alignment horizontal="center" vertical="center"/>
    </xf>
    <xf numFmtId="0" fontId="27" fillId="0" borderId="53" xfId="14" applyFont="1" applyBorder="1" applyAlignment="1">
      <alignment vertical="center" wrapText="1"/>
    </xf>
    <xf numFmtId="0" fontId="23" fillId="0" borderId="53" xfId="10" applyFont="1" applyBorder="1" applyAlignment="1">
      <alignment horizontal="center" vertical="center"/>
    </xf>
    <xf numFmtId="2" fontId="19" fillId="0" borderId="53" xfId="10" applyNumberFormat="1" applyFont="1" applyBorder="1" applyAlignment="1">
      <alignment horizontal="center" vertical="center"/>
    </xf>
    <xf numFmtId="2" fontId="19" fillId="0" borderId="53" xfId="10" applyNumberFormat="1" applyFont="1" applyBorder="1" applyAlignment="1">
      <alignment vertical="center"/>
    </xf>
    <xf numFmtId="0" fontId="19" fillId="7" borderId="9" xfId="10" applyFont="1" applyFill="1" applyBorder="1" applyAlignment="1">
      <alignment vertical="center"/>
    </xf>
    <xf numFmtId="2" fontId="23" fillId="7" borderId="60" xfId="10" applyNumberFormat="1" applyFont="1" applyFill="1" applyBorder="1" applyAlignment="1">
      <alignment horizontal="center" vertical="center"/>
    </xf>
    <xf numFmtId="0" fontId="24" fillId="0" borderId="14" xfId="14" applyFont="1" applyBorder="1" applyAlignment="1">
      <alignment vertical="center" wrapText="1"/>
    </xf>
    <xf numFmtId="0" fontId="23" fillId="0" borderId="14" xfId="10" applyFont="1" applyBorder="1" applyAlignment="1">
      <alignment horizontal="center" vertical="center"/>
    </xf>
    <xf numFmtId="2" fontId="19" fillId="0" borderId="14" xfId="10" applyNumberFormat="1" applyFont="1" applyBorder="1" applyAlignment="1">
      <alignment horizontal="center" vertical="center"/>
    </xf>
    <xf numFmtId="2" fontId="19" fillId="0" borderId="14" xfId="10" applyNumberFormat="1" applyFont="1" applyBorder="1" applyAlignment="1">
      <alignment vertical="center"/>
    </xf>
    <xf numFmtId="0" fontId="19" fillId="0" borderId="14" xfId="10" applyFont="1" applyBorder="1" applyAlignment="1">
      <alignment vertical="center"/>
    </xf>
    <xf numFmtId="2" fontId="23" fillId="0" borderId="87" xfId="10" applyNumberFormat="1" applyFont="1" applyBorder="1" applyAlignment="1">
      <alignment horizontal="center" vertical="center"/>
    </xf>
    <xf numFmtId="0" fontId="19" fillId="0" borderId="52" xfId="10" applyFont="1" applyBorder="1" applyAlignment="1">
      <alignment vertical="center"/>
    </xf>
    <xf numFmtId="2" fontId="23" fillId="0" borderId="66" xfId="10" applyNumberFormat="1" applyFont="1" applyBorder="1" applyAlignment="1">
      <alignment horizontal="center" vertical="center"/>
    </xf>
    <xf numFmtId="0" fontId="19" fillId="0" borderId="33" xfId="10" applyFont="1" applyBorder="1" applyAlignment="1">
      <alignment vertical="center"/>
    </xf>
    <xf numFmtId="2" fontId="23" fillId="0" borderId="63" xfId="10" applyNumberFormat="1" applyFont="1" applyBorder="1" applyAlignment="1">
      <alignment horizontal="center" vertical="center"/>
    </xf>
    <xf numFmtId="0" fontId="19" fillId="0" borderId="53" xfId="10" applyFont="1" applyBorder="1" applyAlignment="1">
      <alignment vertical="center"/>
    </xf>
    <xf numFmtId="2" fontId="23" fillId="0" borderId="65" xfId="10" applyNumberFormat="1" applyFont="1" applyBorder="1" applyAlignment="1">
      <alignment horizontal="center" vertical="center"/>
    </xf>
    <xf numFmtId="0" fontId="23" fillId="0" borderId="61" xfId="10" applyFont="1" applyBorder="1" applyAlignment="1">
      <alignment horizontal="center" vertical="center"/>
    </xf>
    <xf numFmtId="0" fontId="19" fillId="0" borderId="50" xfId="10" applyFont="1" applyBorder="1" applyAlignment="1">
      <alignment vertical="center"/>
    </xf>
    <xf numFmtId="2" fontId="23" fillId="0" borderId="77" xfId="10" applyNumberFormat="1" applyFont="1" applyBorder="1" applyAlignment="1">
      <alignment horizontal="center" vertical="center"/>
    </xf>
    <xf numFmtId="0" fontId="23" fillId="0" borderId="80" xfId="10" applyFont="1" applyBorder="1" applyAlignment="1">
      <alignment horizontal="center" vertical="center"/>
    </xf>
    <xf numFmtId="0" fontId="27" fillId="0" borderId="51" xfId="14" applyFont="1" applyBorder="1" applyAlignment="1">
      <alignment vertical="center" wrapText="1"/>
    </xf>
    <xf numFmtId="0" fontId="23" fillId="0" borderId="51" xfId="10" applyFont="1" applyBorder="1" applyAlignment="1">
      <alignment horizontal="center" vertical="center"/>
    </xf>
    <xf numFmtId="2" fontId="19" fillId="0" borderId="51" xfId="10" applyNumberFormat="1" applyFont="1" applyBorder="1" applyAlignment="1">
      <alignment horizontal="center" vertical="center"/>
    </xf>
    <xf numFmtId="2" fontId="19" fillId="0" borderId="51" xfId="10" applyNumberFormat="1" applyFont="1" applyBorder="1" applyAlignment="1">
      <alignment vertical="center"/>
    </xf>
    <xf numFmtId="0" fontId="19" fillId="0" borderId="51" xfId="10" applyFont="1" applyBorder="1" applyAlignment="1">
      <alignment vertical="center"/>
    </xf>
    <xf numFmtId="2" fontId="23" fillId="0" borderId="83" xfId="10" applyNumberFormat="1" applyFont="1" applyBorder="1" applyAlignment="1">
      <alignment horizontal="center" vertical="center"/>
    </xf>
    <xf numFmtId="0" fontId="23" fillId="0" borderId="84" xfId="10" applyFont="1" applyBorder="1" applyAlignment="1">
      <alignment horizontal="center" vertical="center"/>
    </xf>
    <xf numFmtId="0" fontId="24" fillId="0" borderId="85" xfId="14" applyFont="1" applyBorder="1" applyAlignment="1">
      <alignment vertical="center" wrapText="1"/>
    </xf>
    <xf numFmtId="0" fontId="23" fillId="0" borderId="85" xfId="10" applyFont="1" applyBorder="1" applyAlignment="1">
      <alignment horizontal="center" vertical="center"/>
    </xf>
    <xf numFmtId="2" fontId="19" fillId="0" borderId="85" xfId="10" applyNumberFormat="1" applyFont="1" applyBorder="1" applyAlignment="1">
      <alignment horizontal="center" vertical="center"/>
    </xf>
    <xf numFmtId="2" fontId="19" fillId="0" borderId="85" xfId="10" applyNumberFormat="1" applyFont="1" applyBorder="1" applyAlignment="1">
      <alignment vertical="center"/>
    </xf>
    <xf numFmtId="0" fontId="24" fillId="0" borderId="9" xfId="14" applyFont="1" applyBorder="1" applyAlignment="1">
      <alignment vertical="center" wrapText="1"/>
    </xf>
    <xf numFmtId="0" fontId="23" fillId="0" borderId="9" xfId="10" applyFont="1" applyBorder="1" applyAlignment="1">
      <alignment horizontal="center" vertical="center"/>
    </xf>
    <xf numFmtId="2" fontId="19" fillId="0" borderId="9" xfId="10" applyNumberFormat="1" applyFont="1" applyBorder="1" applyAlignment="1">
      <alignment horizontal="center" vertical="center"/>
    </xf>
    <xf numFmtId="2" fontId="19" fillId="0" borderId="9" xfId="10" applyNumberFormat="1" applyFont="1" applyBorder="1" applyAlignment="1">
      <alignment vertical="center"/>
    </xf>
    <xf numFmtId="4" fontId="27" fillId="0" borderId="53" xfId="2" applyNumberFormat="1" applyFont="1" applyBorder="1" applyAlignment="1">
      <alignment vertical="center" wrapText="1"/>
    </xf>
    <xf numFmtId="0" fontId="23" fillId="0" borderId="84" xfId="1" applyFont="1" applyBorder="1" applyAlignment="1">
      <alignment horizontal="center" vertical="center"/>
    </xf>
    <xf numFmtId="4" fontId="27" fillId="0" borderId="85" xfId="2" applyNumberFormat="1" applyFont="1" applyBorder="1" applyAlignment="1">
      <alignment vertical="center" wrapText="1"/>
    </xf>
    <xf numFmtId="0" fontId="23" fillId="0" borderId="85" xfId="1" applyFont="1" applyBorder="1" applyAlignment="1">
      <alignment horizontal="center" vertical="center"/>
    </xf>
    <xf numFmtId="2" fontId="19" fillId="0" borderId="85" xfId="1" applyNumberFormat="1" applyFont="1" applyBorder="1" applyAlignment="1">
      <alignment horizontal="center" vertical="center"/>
    </xf>
    <xf numFmtId="4" fontId="27" fillId="0" borderId="52" xfId="2" applyNumberFormat="1" applyFont="1" applyBorder="1" applyAlignment="1">
      <alignment vertical="center" wrapText="1"/>
    </xf>
    <xf numFmtId="4" fontId="27" fillId="0" borderId="33" xfId="2" applyNumberFormat="1" applyFont="1" applyBorder="1" applyAlignment="1">
      <alignment vertical="center" wrapText="1"/>
    </xf>
    <xf numFmtId="4" fontId="27" fillId="0" borderId="9" xfId="2" applyNumberFormat="1" applyFont="1" applyBorder="1" applyAlignment="1">
      <alignment vertical="center" wrapText="1"/>
    </xf>
    <xf numFmtId="0" fontId="23" fillId="0" borderId="88" xfId="1" applyFont="1" applyBorder="1" applyAlignment="1">
      <alignment horizontal="center" vertical="center"/>
    </xf>
    <xf numFmtId="4" fontId="27" fillId="0" borderId="14" xfId="2" applyNumberFormat="1" applyFont="1" applyBorder="1" applyAlignment="1">
      <alignment vertical="center" wrapText="1"/>
    </xf>
    <xf numFmtId="0" fontId="23" fillId="0" borderId="14" xfId="1" applyFont="1" applyBorder="1" applyAlignment="1">
      <alignment horizontal="center" vertical="center"/>
    </xf>
    <xf numFmtId="2" fontId="19" fillId="0" borderId="14" xfId="1" applyNumberFormat="1" applyFont="1" applyBorder="1" applyAlignment="1">
      <alignment horizontal="center" vertical="center"/>
    </xf>
    <xf numFmtId="2" fontId="19" fillId="0" borderId="14" xfId="1" applyNumberFormat="1" applyFont="1" applyBorder="1" applyAlignment="1">
      <alignment vertical="center"/>
    </xf>
    <xf numFmtId="0" fontId="19" fillId="0" borderId="14" xfId="1" applyFont="1" applyBorder="1" applyAlignment="1">
      <alignment vertical="center"/>
    </xf>
    <xf numFmtId="2" fontId="23" fillId="0" borderId="87" xfId="1" applyNumberFormat="1" applyFont="1" applyBorder="1" applyAlignment="1">
      <alignment horizontal="center" vertical="center"/>
    </xf>
    <xf numFmtId="4" fontId="27" fillId="0" borderId="44" xfId="2" applyNumberFormat="1" applyFont="1" applyBorder="1" applyAlignment="1">
      <alignment vertical="center" wrapText="1"/>
    </xf>
    <xf numFmtId="2" fontId="19" fillId="4" borderId="33" xfId="1" applyNumberFormat="1" applyFont="1" applyFill="1" applyBorder="1" applyAlignment="1">
      <alignment vertical="center"/>
    </xf>
    <xf numFmtId="4" fontId="24" fillId="0" borderId="85" xfId="2" applyNumberFormat="1" applyFont="1" applyBorder="1" applyAlignment="1">
      <alignment vertical="center" wrapText="1"/>
    </xf>
    <xf numFmtId="2" fontId="19" fillId="0" borderId="85" xfId="1" applyNumberFormat="1" applyFont="1" applyBorder="1" applyAlignment="1">
      <alignment horizontal="right" vertical="center"/>
    </xf>
    <xf numFmtId="2" fontId="19" fillId="0" borderId="52" xfId="1" applyNumberFormat="1" applyFont="1" applyBorder="1" applyAlignment="1">
      <alignment horizontal="right" vertical="center"/>
    </xf>
    <xf numFmtId="2" fontId="19" fillId="0" borderId="33" xfId="1" applyNumberFormat="1" applyFont="1" applyBorder="1" applyAlignment="1">
      <alignment horizontal="right" vertical="center"/>
    </xf>
    <xf numFmtId="0" fontId="20" fillId="0" borderId="0" xfId="1" applyFont="1" applyAlignment="1">
      <alignment horizontal="center"/>
    </xf>
    <xf numFmtId="0" fontId="27" fillId="0" borderId="9" xfId="14" applyFont="1" applyBorder="1" applyAlignment="1">
      <alignment vertical="center" wrapText="1"/>
    </xf>
    <xf numFmtId="0" fontId="23" fillId="0" borderId="89" xfId="1" applyFont="1" applyBorder="1" applyAlignment="1">
      <alignment horizontal="center" vertical="center"/>
    </xf>
    <xf numFmtId="0" fontId="27" fillId="0" borderId="90" xfId="2" applyFont="1" applyBorder="1" applyAlignment="1">
      <alignment vertical="center" wrapText="1"/>
    </xf>
    <xf numFmtId="0" fontId="23" fillId="0" borderId="90" xfId="1" applyFont="1" applyBorder="1" applyAlignment="1">
      <alignment horizontal="center" vertical="center"/>
    </xf>
    <xf numFmtId="2" fontId="19" fillId="0" borderId="90" xfId="1" applyNumberFormat="1" applyFont="1" applyBorder="1" applyAlignment="1">
      <alignment horizontal="center" vertical="center"/>
    </xf>
    <xf numFmtId="2" fontId="19" fillId="0" borderId="90" xfId="1" applyNumberFormat="1" applyFont="1" applyBorder="1" applyAlignment="1">
      <alignment vertical="center"/>
    </xf>
    <xf numFmtId="0" fontId="19" fillId="0" borderId="90" xfId="1" applyFont="1" applyBorder="1" applyAlignment="1">
      <alignment vertical="center"/>
    </xf>
    <xf numFmtId="2" fontId="23" fillId="0" borderId="91" xfId="1" applyNumberFormat="1" applyFont="1" applyBorder="1" applyAlignment="1">
      <alignment horizontal="center" vertical="center"/>
    </xf>
    <xf numFmtId="0" fontId="27" fillId="0" borderId="75" xfId="14" applyFont="1" applyBorder="1" applyAlignment="1">
      <alignment vertical="center" wrapText="1"/>
    </xf>
    <xf numFmtId="0" fontId="23" fillId="0" borderId="75" xfId="10" applyFont="1" applyBorder="1" applyAlignment="1">
      <alignment horizontal="center" vertical="center"/>
    </xf>
    <xf numFmtId="2" fontId="19" fillId="0" borderId="75" xfId="10" applyNumberFormat="1" applyFont="1" applyBorder="1" applyAlignment="1">
      <alignment horizontal="center" vertical="center"/>
    </xf>
    <xf numFmtId="2" fontId="19" fillId="0" borderId="75" xfId="10" applyNumberFormat="1" applyFont="1" applyBorder="1" applyAlignment="1">
      <alignment vertical="center"/>
    </xf>
    <xf numFmtId="0" fontId="23" fillId="0" borderId="92" xfId="1" applyFont="1" applyBorder="1" applyAlignment="1">
      <alignment horizontal="center" vertical="center"/>
    </xf>
    <xf numFmtId="0" fontId="27" fillId="0" borderId="93" xfId="2" applyFont="1" applyBorder="1" applyAlignment="1">
      <alignment vertical="center" wrapText="1"/>
    </xf>
    <xf numFmtId="0" fontId="23" fillId="0" borderId="93" xfId="1" applyFont="1" applyBorder="1" applyAlignment="1">
      <alignment horizontal="center" vertical="center"/>
    </xf>
    <xf numFmtId="2" fontId="19" fillId="0" borderId="93" xfId="1" applyNumberFormat="1" applyFont="1" applyBorder="1" applyAlignment="1">
      <alignment horizontal="center" vertical="center"/>
    </xf>
    <xf numFmtId="2" fontId="19" fillId="0" borderId="93" xfId="1" applyNumberFormat="1" applyFont="1" applyBorder="1" applyAlignment="1">
      <alignment vertical="center"/>
    </xf>
    <xf numFmtId="0" fontId="19" fillId="0" borderId="93" xfId="1" applyFont="1" applyBorder="1" applyAlignment="1">
      <alignment vertical="center"/>
    </xf>
    <xf numFmtId="2" fontId="23" fillId="0" borderId="94" xfId="1" applyNumberFormat="1" applyFont="1" applyBorder="1" applyAlignment="1">
      <alignment horizontal="center" vertical="center"/>
    </xf>
    <xf numFmtId="0" fontId="23" fillId="0" borderId="57" xfId="1" applyFont="1" applyBorder="1" applyAlignment="1">
      <alignment horizontal="center" vertical="center"/>
    </xf>
    <xf numFmtId="0" fontId="27" fillId="0" borderId="56" xfId="2" applyFont="1" applyBorder="1" applyAlignment="1">
      <alignment vertical="center" wrapText="1"/>
    </xf>
    <xf numFmtId="0" fontId="23" fillId="0" borderId="56" xfId="1" applyFont="1" applyBorder="1" applyAlignment="1">
      <alignment horizontal="center" vertical="center"/>
    </xf>
    <xf numFmtId="2" fontId="19" fillId="0" borderId="56" xfId="1" applyNumberFormat="1" applyFont="1" applyBorder="1" applyAlignment="1">
      <alignment horizontal="center" vertical="center"/>
    </xf>
    <xf numFmtId="2" fontId="19" fillId="0" borderId="56" xfId="1" applyNumberFormat="1" applyFont="1" applyBorder="1" applyAlignment="1">
      <alignment vertical="center"/>
    </xf>
    <xf numFmtId="0" fontId="19" fillId="0" borderId="56" xfId="1" applyFont="1" applyBorder="1" applyAlignment="1">
      <alignment vertical="center"/>
    </xf>
    <xf numFmtId="2" fontId="23" fillId="0" borderId="55" xfId="1" applyNumberFormat="1" applyFont="1" applyBorder="1" applyAlignment="1">
      <alignment horizontal="center" vertical="center"/>
    </xf>
    <xf numFmtId="0" fontId="19" fillId="0" borderId="71" xfId="1" applyFont="1" applyBorder="1"/>
    <xf numFmtId="0" fontId="23" fillId="0" borderId="5" xfId="1" applyFont="1" applyBorder="1" applyAlignment="1">
      <alignment horizontal="left"/>
    </xf>
    <xf numFmtId="0" fontId="19" fillId="0" borderId="5" xfId="1" applyFont="1" applyBorder="1"/>
    <xf numFmtId="0" fontId="23" fillId="0" borderId="5" xfId="1" applyFont="1" applyBorder="1" applyAlignment="1">
      <alignment horizontal="center"/>
    </xf>
    <xf numFmtId="0" fontId="19" fillId="0" borderId="58" xfId="1" applyFont="1" applyBorder="1" applyAlignment="1">
      <alignment horizontal="center" vertical="center"/>
    </xf>
    <xf numFmtId="4" fontId="27" fillId="0" borderId="90" xfId="2" applyNumberFormat="1" applyFont="1" applyBorder="1" applyAlignment="1">
      <alignment vertical="center" wrapText="1"/>
    </xf>
    <xf numFmtId="4" fontId="27" fillId="0" borderId="75" xfId="2" applyNumberFormat="1" applyFont="1" applyBorder="1" applyAlignment="1">
      <alignment vertical="center" wrapText="1"/>
    </xf>
    <xf numFmtId="2" fontId="19" fillId="0" borderId="75" xfId="1" applyNumberFormat="1" applyFont="1" applyBorder="1" applyAlignment="1">
      <alignment horizontal="right" vertical="center"/>
    </xf>
    <xf numFmtId="0" fontId="20" fillId="0" borderId="0" xfId="1" applyFont="1" applyAlignment="1">
      <alignment horizontal="left"/>
    </xf>
    <xf numFmtId="0" fontId="21" fillId="0" borderId="0" xfId="1" applyFont="1" applyAlignment="1">
      <alignment horizontal="left"/>
    </xf>
    <xf numFmtId="4" fontId="27" fillId="0" borderId="51" xfId="2" applyNumberFormat="1" applyFont="1" applyBorder="1" applyAlignment="1">
      <alignment vertical="center" wrapText="1"/>
    </xf>
    <xf numFmtId="0" fontId="23" fillId="4" borderId="67" xfId="1" applyFont="1" applyFill="1" applyBorder="1" applyAlignment="1">
      <alignment horizontal="center" vertical="center"/>
    </xf>
    <xf numFmtId="4" fontId="27" fillId="4" borderId="44" xfId="2" applyNumberFormat="1" applyFont="1" applyFill="1" applyBorder="1" applyAlignment="1">
      <alignment vertical="center" wrapText="1"/>
    </xf>
    <xf numFmtId="0" fontId="23" fillId="4" borderId="33" xfId="1" applyFont="1" applyFill="1" applyBorder="1" applyAlignment="1">
      <alignment horizontal="center" vertical="center"/>
    </xf>
    <xf numFmtId="2" fontId="19" fillId="4" borderId="44" xfId="1" applyNumberFormat="1" applyFont="1" applyFill="1" applyBorder="1" applyAlignment="1">
      <alignment horizontal="center" vertical="center"/>
    </xf>
    <xf numFmtId="2" fontId="19" fillId="4" borderId="44" xfId="1" applyNumberFormat="1" applyFont="1" applyFill="1" applyBorder="1" applyAlignment="1">
      <alignment vertical="center"/>
    </xf>
    <xf numFmtId="0" fontId="19" fillId="4" borderId="33" xfId="1" applyFont="1" applyFill="1" applyBorder="1" applyAlignment="1">
      <alignment vertical="center"/>
    </xf>
    <xf numFmtId="2" fontId="23" fillId="4" borderId="63" xfId="1" applyNumberFormat="1" applyFont="1" applyFill="1" applyBorder="1" applyAlignment="1">
      <alignment horizontal="center" vertical="center"/>
    </xf>
    <xf numFmtId="0" fontId="23" fillId="4" borderId="84" xfId="1" applyFont="1" applyFill="1" applyBorder="1" applyAlignment="1">
      <alignment horizontal="center" vertical="center"/>
    </xf>
    <xf numFmtId="4" fontId="27" fillId="4" borderId="85" xfId="2" applyNumberFormat="1" applyFont="1" applyFill="1" applyBorder="1" applyAlignment="1">
      <alignment vertical="center" wrapText="1"/>
    </xf>
    <xf numFmtId="0" fontId="23" fillId="4" borderId="85" xfId="1" applyFont="1" applyFill="1" applyBorder="1" applyAlignment="1">
      <alignment horizontal="center" vertical="center"/>
    </xf>
    <xf numFmtId="2" fontId="19" fillId="4" borderId="85" xfId="1" applyNumberFormat="1" applyFont="1" applyFill="1" applyBorder="1" applyAlignment="1">
      <alignment horizontal="center" vertical="center"/>
    </xf>
    <xf numFmtId="2" fontId="19" fillId="4" borderId="85" xfId="1" applyNumberFormat="1" applyFont="1" applyFill="1" applyBorder="1" applyAlignment="1">
      <alignment vertical="center"/>
    </xf>
    <xf numFmtId="0" fontId="19" fillId="4" borderId="85" xfId="1" applyFont="1" applyFill="1" applyBorder="1" applyAlignment="1">
      <alignment vertical="center"/>
    </xf>
    <xf numFmtId="2" fontId="23" fillId="4" borderId="86" xfId="1" applyNumberFormat="1" applyFont="1" applyFill="1" applyBorder="1" applyAlignment="1">
      <alignment horizontal="center" vertical="center"/>
    </xf>
    <xf numFmtId="0" fontId="29" fillId="0" borderId="33" xfId="14" applyFont="1" applyBorder="1" applyAlignment="1">
      <alignment vertical="center" wrapText="1"/>
    </xf>
    <xf numFmtId="0" fontId="23" fillId="0" borderId="67" xfId="10" applyFont="1" applyFill="1" applyBorder="1" applyAlignment="1">
      <alignment horizontal="center" vertical="center"/>
    </xf>
    <xf numFmtId="0" fontId="23" fillId="0" borderId="68" xfId="10" applyFont="1" applyFill="1" applyBorder="1" applyAlignment="1">
      <alignment horizontal="center" vertical="center"/>
    </xf>
    <xf numFmtId="0" fontId="23" fillId="0" borderId="76" xfId="10" applyFont="1" applyFill="1" applyBorder="1" applyAlignment="1">
      <alignment horizontal="center" vertical="center"/>
    </xf>
    <xf numFmtId="0" fontId="19" fillId="0" borderId="0" xfId="1" applyFont="1" applyAlignment="1">
      <alignment horizontal="right"/>
    </xf>
    <xf numFmtId="0" fontId="23" fillId="0" borderId="44" xfId="10" applyFont="1" applyBorder="1" applyAlignment="1">
      <alignment horizontal="center" vertical="center"/>
    </xf>
    <xf numFmtId="2" fontId="19" fillId="0" borderId="44" xfId="10" applyNumberFormat="1" applyFont="1" applyBorder="1" applyAlignment="1">
      <alignment horizontal="center" vertical="center"/>
    </xf>
    <xf numFmtId="2" fontId="19" fillId="0" borderId="44" xfId="10" applyNumberFormat="1" applyFont="1" applyBorder="1" applyAlignment="1">
      <alignment vertical="center"/>
    </xf>
    <xf numFmtId="0" fontId="19" fillId="0" borderId="44" xfId="10" applyFont="1" applyBorder="1" applyAlignment="1">
      <alignment vertical="center"/>
    </xf>
    <xf numFmtId="2" fontId="23" fillId="0" borderId="79" xfId="10" applyNumberFormat="1" applyFont="1" applyBorder="1" applyAlignment="1">
      <alignment horizontal="center" vertical="center"/>
    </xf>
    <xf numFmtId="0" fontId="19" fillId="0" borderId="0" xfId="1" applyFont="1" applyAlignment="1">
      <alignment horizontal="right"/>
    </xf>
    <xf numFmtId="0" fontId="19" fillId="0" borderId="0" xfId="1" applyFont="1" applyAlignment="1">
      <alignment horizontal="right"/>
    </xf>
    <xf numFmtId="0" fontId="27" fillId="0" borderId="14" xfId="14" applyFont="1" applyBorder="1" applyAlignment="1">
      <alignment vertical="center" wrapText="1"/>
    </xf>
    <xf numFmtId="0" fontId="24" fillId="0" borderId="53" xfId="14" applyFont="1" applyBorder="1" applyAlignment="1">
      <alignment vertical="center" wrapText="1"/>
    </xf>
    <xf numFmtId="2" fontId="19" fillId="0" borderId="0" xfId="1" applyNumberFormat="1" applyFont="1"/>
    <xf numFmtId="0" fontId="15" fillId="0" borderId="0" xfId="15" applyFont="1" applyAlignment="1">
      <alignment vertical="center"/>
    </xf>
    <xf numFmtId="0" fontId="16" fillId="0" borderId="26" xfId="15" applyFont="1" applyBorder="1" applyAlignment="1">
      <alignment vertical="center"/>
    </xf>
    <xf numFmtId="0" fontId="16" fillId="0" borderId="2" xfId="15" applyFont="1" applyBorder="1" applyAlignment="1">
      <alignment vertical="center"/>
    </xf>
    <xf numFmtId="0" fontId="15" fillId="0" borderId="2" xfId="15" applyFont="1" applyBorder="1" applyAlignment="1">
      <alignment vertical="center"/>
    </xf>
    <xf numFmtId="0" fontId="16" fillId="0" borderId="2" xfId="15" applyFont="1" applyBorder="1" applyAlignment="1">
      <alignment horizontal="center" vertical="center"/>
    </xf>
    <xf numFmtId="0" fontId="16" fillId="0" borderId="25" xfId="15" applyFont="1" applyBorder="1" applyAlignment="1">
      <alignment vertical="center"/>
    </xf>
    <xf numFmtId="0" fontId="15" fillId="0" borderId="4" xfId="15" applyFont="1" applyBorder="1" applyAlignment="1">
      <alignment vertical="center"/>
    </xf>
    <xf numFmtId="0" fontId="15" fillId="0" borderId="24" xfId="15" applyFont="1" applyBorder="1" applyAlignment="1">
      <alignment vertical="center"/>
    </xf>
    <xf numFmtId="0" fontId="15" fillId="0" borderId="23" xfId="15" applyFont="1" applyBorder="1" applyAlignment="1">
      <alignment vertical="center"/>
    </xf>
    <xf numFmtId="0" fontId="15" fillId="0" borderId="15" xfId="15" applyFont="1" applyBorder="1" applyAlignment="1">
      <alignment vertical="center"/>
    </xf>
    <xf numFmtId="0" fontId="16" fillId="0" borderId="15" xfId="15" applyFont="1" applyBorder="1" applyAlignment="1">
      <alignment vertical="center"/>
    </xf>
    <xf numFmtId="0" fontId="16" fillId="0" borderId="22" xfId="15" applyFont="1" applyBorder="1" applyAlignment="1">
      <alignment vertical="center"/>
    </xf>
    <xf numFmtId="14" fontId="15" fillId="0" borderId="0" xfId="15" applyNumberFormat="1" applyFont="1" applyAlignment="1">
      <alignment vertical="center"/>
    </xf>
    <xf numFmtId="0" fontId="16" fillId="0" borderId="0" xfId="15" applyFont="1" applyAlignment="1">
      <alignment horizontal="right" vertical="center"/>
    </xf>
    <xf numFmtId="0" fontId="15" fillId="0" borderId="26" xfId="15" applyFont="1" applyBorder="1" applyAlignment="1">
      <alignment vertical="center"/>
    </xf>
    <xf numFmtId="0" fontId="15" fillId="0" borderId="25" xfId="15" applyFont="1" applyBorder="1" applyAlignment="1">
      <alignment vertical="center"/>
    </xf>
    <xf numFmtId="0" fontId="15" fillId="10" borderId="27" xfId="15" applyFont="1" applyFill="1" applyBorder="1" applyAlignment="1">
      <alignment vertical="center"/>
    </xf>
    <xf numFmtId="0" fontId="15" fillId="10" borderId="31" xfId="15" applyFont="1" applyFill="1" applyBorder="1" applyAlignment="1">
      <alignment vertical="center"/>
    </xf>
    <xf numFmtId="0" fontId="16" fillId="10" borderId="31" xfId="15" applyFont="1" applyFill="1" applyBorder="1" applyAlignment="1">
      <alignment vertical="center"/>
    </xf>
    <xf numFmtId="0" fontId="17" fillId="10" borderId="31" xfId="15" applyFont="1" applyFill="1" applyBorder="1" applyAlignment="1">
      <alignment vertical="center"/>
    </xf>
    <xf numFmtId="0" fontId="17" fillId="10" borderId="3" xfId="15" applyFont="1" applyFill="1" applyBorder="1" applyAlignment="1">
      <alignment horizontal="right" vertical="center"/>
    </xf>
    <xf numFmtId="0" fontId="16" fillId="0" borderId="0" xfId="15" applyFont="1" applyAlignment="1">
      <alignment vertical="center"/>
    </xf>
    <xf numFmtId="0" fontId="15" fillId="6" borderId="2" xfId="15" applyFont="1" applyFill="1" applyBorder="1" applyAlignment="1">
      <alignment horizontal="left" vertical="center"/>
    </xf>
    <xf numFmtId="0" fontId="17" fillId="6" borderId="25" xfId="15" applyFont="1" applyFill="1" applyBorder="1" applyAlignment="1">
      <alignment horizontal="left" vertical="center"/>
    </xf>
    <xf numFmtId="10" fontId="16" fillId="0" borderId="95" xfId="16" applyNumberFormat="1" applyFont="1" applyBorder="1" applyAlignment="1">
      <alignment horizontal="right" vertical="center"/>
    </xf>
    <xf numFmtId="0" fontId="15" fillId="0" borderId="96" xfId="15" applyFont="1" applyBorder="1" applyAlignment="1">
      <alignment horizontal="right" vertical="center"/>
    </xf>
    <xf numFmtId="0" fontId="15" fillId="0" borderId="96" xfId="15" applyFont="1" applyBorder="1" applyAlignment="1">
      <alignment horizontal="left" vertical="center"/>
    </xf>
    <xf numFmtId="0" fontId="16" fillId="0" borderId="97" xfId="15" applyFont="1" applyBorder="1" applyAlignment="1">
      <alignment horizontal="left" vertical="center"/>
    </xf>
    <xf numFmtId="4" fontId="16" fillId="0" borderId="98" xfId="15" applyNumberFormat="1" applyFont="1" applyBorder="1" applyAlignment="1">
      <alignment horizontal="right" vertical="center"/>
    </xf>
    <xf numFmtId="0" fontId="15" fillId="0" borderId="9" xfId="15" applyFont="1" applyBorder="1" applyAlignment="1">
      <alignment horizontal="right" vertical="center"/>
    </xf>
    <xf numFmtId="0" fontId="15" fillId="0" borderId="9" xfId="15" applyFont="1" applyBorder="1" applyAlignment="1">
      <alignment horizontal="left" vertical="center"/>
    </xf>
    <xf numFmtId="0" fontId="16" fillId="0" borderId="99" xfId="15" applyFont="1" applyBorder="1" applyAlignment="1">
      <alignment horizontal="left" vertical="center"/>
    </xf>
    <xf numFmtId="4" fontId="16" fillId="0" borderId="0" xfId="15" applyNumberFormat="1" applyFont="1" applyAlignment="1">
      <alignment vertical="center"/>
    </xf>
    <xf numFmtId="0" fontId="16" fillId="0" borderId="0" xfId="15" applyFont="1" applyAlignment="1">
      <alignment horizontal="left" vertical="center"/>
    </xf>
    <xf numFmtId="4" fontId="17" fillId="0" borderId="0" xfId="15" applyNumberFormat="1" applyFont="1" applyAlignment="1">
      <alignment vertical="center"/>
    </xf>
    <xf numFmtId="0" fontId="17" fillId="0" borderId="0" xfId="15" applyFont="1" applyAlignment="1">
      <alignment horizontal="right" vertical="center"/>
    </xf>
    <xf numFmtId="10" fontId="16" fillId="0" borderId="98" xfId="16" applyNumberFormat="1" applyFont="1" applyBorder="1" applyAlignment="1">
      <alignment horizontal="right" vertical="center"/>
    </xf>
    <xf numFmtId="0" fontId="16" fillId="0" borderId="9" xfId="15" applyFont="1" applyBorder="1" applyAlignment="1">
      <alignment horizontal="right" vertical="center"/>
    </xf>
    <xf numFmtId="0" fontId="16" fillId="0" borderId="9" xfId="15" applyFont="1" applyBorder="1" applyAlignment="1">
      <alignment horizontal="left" vertical="center"/>
    </xf>
    <xf numFmtId="2" fontId="15" fillId="0" borderId="0" xfId="15" applyNumberFormat="1" applyFont="1" applyAlignment="1">
      <alignment vertical="center"/>
    </xf>
    <xf numFmtId="4" fontId="15" fillId="0" borderId="0" xfId="15" applyNumberFormat="1" applyFont="1" applyAlignment="1">
      <alignment vertical="center"/>
    </xf>
    <xf numFmtId="4" fontId="16" fillId="0" borderId="30" xfId="15" applyNumberFormat="1" applyFont="1" applyBorder="1" applyAlignment="1">
      <alignment horizontal="right" vertical="center"/>
    </xf>
    <xf numFmtId="0" fontId="15" fillId="0" borderId="11" xfId="15" applyFont="1" applyBorder="1" applyAlignment="1">
      <alignment horizontal="right" vertical="center"/>
    </xf>
    <xf numFmtId="0" fontId="15" fillId="0" borderId="11" xfId="15" applyFont="1" applyBorder="1" applyAlignment="1">
      <alignment horizontal="left" vertical="center"/>
    </xf>
    <xf numFmtId="0" fontId="16" fillId="0" borderId="29" xfId="15" applyFont="1" applyBorder="1" applyAlignment="1">
      <alignment horizontal="left" vertical="center"/>
    </xf>
    <xf numFmtId="0" fontId="15" fillId="0" borderId="22" xfId="15" applyFont="1" applyBorder="1" applyAlignment="1">
      <alignment vertical="center"/>
    </xf>
    <xf numFmtId="10" fontId="16" fillId="0" borderId="0" xfId="15" applyNumberFormat="1" applyFont="1" applyAlignment="1">
      <alignment vertical="center"/>
    </xf>
    <xf numFmtId="10" fontId="15" fillId="0" borderId="100" xfId="15" applyNumberFormat="1" applyFont="1" applyBorder="1" applyAlignment="1">
      <alignment horizontal="center" vertical="center"/>
    </xf>
    <xf numFmtId="4" fontId="16" fillId="0" borderId="100" xfId="15" applyNumberFormat="1" applyFont="1" applyBorder="1" applyAlignment="1">
      <alignment vertical="center"/>
    </xf>
    <xf numFmtId="4" fontId="15" fillId="0" borderId="0" xfId="17" applyNumberFormat="1" applyFont="1" applyFill="1" applyBorder="1" applyAlignment="1">
      <alignment vertical="center"/>
    </xf>
    <xf numFmtId="2" fontId="15" fillId="0" borderId="0" xfId="17" applyNumberFormat="1" applyFont="1" applyFill="1" applyBorder="1" applyAlignment="1">
      <alignment horizontal="center" vertical="center"/>
    </xf>
    <xf numFmtId="2" fontId="15" fillId="0" borderId="0" xfId="15" applyNumberFormat="1" applyFont="1" applyAlignment="1">
      <alignment horizontal="center" vertical="center"/>
    </xf>
    <xf numFmtId="167" fontId="15" fillId="0" borderId="0" xfId="15" applyNumberFormat="1" applyFont="1" applyAlignment="1">
      <alignment vertical="center"/>
    </xf>
    <xf numFmtId="10" fontId="15" fillId="0" borderId="101" xfId="15" applyNumberFormat="1" applyFont="1" applyBorder="1" applyAlignment="1">
      <alignment horizontal="center" vertical="center"/>
    </xf>
    <xf numFmtId="4" fontId="15" fillId="0" borderId="102" xfId="15" applyNumberFormat="1" applyFont="1" applyBorder="1" applyAlignment="1">
      <alignment vertical="center"/>
    </xf>
    <xf numFmtId="4" fontId="15" fillId="12" borderId="103" xfId="15" applyNumberFormat="1" applyFont="1" applyFill="1" applyBorder="1" applyAlignment="1" applyProtection="1">
      <alignment vertical="center"/>
      <protection locked="0"/>
    </xf>
    <xf numFmtId="0" fontId="15" fillId="12" borderId="103" xfId="15" applyFont="1" applyFill="1" applyBorder="1" applyAlignment="1">
      <alignment horizontal="center" vertical="center"/>
    </xf>
    <xf numFmtId="0" fontId="15" fillId="0" borderId="103" xfId="15" applyFont="1" applyBorder="1" applyAlignment="1">
      <alignment vertical="center" shrinkToFit="1"/>
    </xf>
    <xf numFmtId="0" fontId="15" fillId="0" borderId="104" xfId="15" applyFont="1" applyBorder="1" applyAlignment="1">
      <alignment horizontal="center" vertical="center"/>
    </xf>
    <xf numFmtId="10" fontId="15" fillId="0" borderId="105" xfId="15" applyNumberFormat="1" applyFont="1" applyBorder="1" applyAlignment="1">
      <alignment horizontal="center" vertical="center"/>
    </xf>
    <xf numFmtId="4" fontId="15" fillId="0" borderId="106" xfId="15" applyNumberFormat="1" applyFont="1" applyBorder="1" applyAlignment="1">
      <alignment vertical="center"/>
    </xf>
    <xf numFmtId="4" fontId="15" fillId="12" borderId="50" xfId="15" applyNumberFormat="1" applyFont="1" applyFill="1" applyBorder="1" applyAlignment="1" applyProtection="1">
      <alignment vertical="center"/>
      <protection locked="0"/>
    </xf>
    <xf numFmtId="10" fontId="15" fillId="12" borderId="50" xfId="16" applyNumberFormat="1" applyFont="1" applyFill="1" applyBorder="1" applyAlignment="1" applyProtection="1">
      <alignment vertical="center"/>
      <protection locked="0"/>
    </xf>
    <xf numFmtId="0" fontId="15" fillId="12" borderId="50" xfId="15" applyFont="1" applyFill="1" applyBorder="1" applyAlignment="1">
      <alignment horizontal="center" vertical="center"/>
    </xf>
    <xf numFmtId="0" fontId="15" fillId="0" borderId="107" xfId="15" applyFont="1" applyBorder="1" applyAlignment="1">
      <alignment vertical="center" shrinkToFit="1"/>
    </xf>
    <xf numFmtId="0" fontId="15" fillId="0" borderId="108" xfId="15" applyFont="1" applyBorder="1" applyAlignment="1">
      <alignment horizontal="center" vertical="center"/>
    </xf>
    <xf numFmtId="10" fontId="15" fillId="0" borderId="82" xfId="15" applyNumberFormat="1" applyFont="1" applyBorder="1" applyAlignment="1">
      <alignment horizontal="center" vertical="center"/>
    </xf>
    <xf numFmtId="4" fontId="15" fillId="0" borderId="109" xfId="15" applyNumberFormat="1" applyFont="1" applyBorder="1" applyAlignment="1">
      <alignment vertical="center"/>
    </xf>
    <xf numFmtId="4" fontId="15" fillId="12" borderId="110" xfId="15" applyNumberFormat="1" applyFont="1" applyFill="1" applyBorder="1" applyAlignment="1" applyProtection="1">
      <alignment vertical="center"/>
      <protection locked="0"/>
    </xf>
    <xf numFmtId="10" fontId="15" fillId="12" borderId="110" xfId="16" applyNumberFormat="1" applyFont="1" applyFill="1" applyBorder="1" applyAlignment="1" applyProtection="1">
      <alignment vertical="center"/>
      <protection locked="0"/>
    </xf>
    <xf numFmtId="0" fontId="15" fillId="12" borderId="110" xfId="15" applyFont="1" applyFill="1" applyBorder="1" applyAlignment="1">
      <alignment horizontal="center" vertical="center"/>
    </xf>
    <xf numFmtId="0" fontId="15" fillId="0" borderId="111" xfId="15" applyFont="1" applyBorder="1" applyAlignment="1">
      <alignment vertical="center" shrinkToFit="1"/>
    </xf>
    <xf numFmtId="0" fontId="15" fillId="0" borderId="112" xfId="15" applyFont="1" applyBorder="1" applyAlignment="1">
      <alignment horizontal="center" vertical="center"/>
    </xf>
    <xf numFmtId="10" fontId="15" fillId="0" borderId="0" xfId="15" applyNumberFormat="1" applyFont="1" applyAlignment="1">
      <alignment vertical="center"/>
    </xf>
    <xf numFmtId="10" fontId="15" fillId="0" borderId="2" xfId="16" applyNumberFormat="1" applyFont="1" applyFill="1" applyBorder="1" applyAlignment="1" applyProtection="1">
      <alignment horizontal="center" vertical="center"/>
      <protection locked="0"/>
    </xf>
    <xf numFmtId="10" fontId="15" fillId="0" borderId="0" xfId="15" applyNumberFormat="1" applyFont="1" applyAlignment="1">
      <alignment horizontal="center" vertical="center"/>
    </xf>
    <xf numFmtId="0" fontId="15" fillId="0" borderId="0" xfId="15" applyFont="1" applyAlignment="1">
      <alignment horizontal="center" vertical="center"/>
    </xf>
    <xf numFmtId="4" fontId="17" fillId="6" borderId="48" xfId="15" applyNumberFormat="1" applyFont="1" applyFill="1" applyBorder="1" applyAlignment="1">
      <alignment vertical="center"/>
    </xf>
    <xf numFmtId="0" fontId="18" fillId="0" borderId="4" xfId="15" applyFont="1" applyBorder="1" applyAlignment="1">
      <alignment vertical="center"/>
    </xf>
    <xf numFmtId="10" fontId="17" fillId="0" borderId="24" xfId="15" applyNumberFormat="1" applyFont="1" applyBorder="1" applyAlignment="1">
      <alignment horizontal="center" vertical="center"/>
    </xf>
    <xf numFmtId="10" fontId="17" fillId="0" borderId="81" xfId="15" applyNumberFormat="1" applyFont="1" applyBorder="1" applyAlignment="1">
      <alignment vertical="center"/>
    </xf>
    <xf numFmtId="4" fontId="17" fillId="0" borderId="81" xfId="15" applyNumberFormat="1" applyFont="1" applyBorder="1" applyAlignment="1">
      <alignment vertical="center"/>
    </xf>
    <xf numFmtId="4" fontId="17" fillId="13" borderId="48" xfId="15" applyNumberFormat="1" applyFont="1" applyFill="1" applyBorder="1" applyAlignment="1">
      <alignment vertical="center"/>
    </xf>
    <xf numFmtId="0" fontId="17" fillId="6" borderId="26" xfId="15" applyFont="1" applyFill="1" applyBorder="1" applyAlignment="1">
      <alignment horizontal="right" vertical="center"/>
    </xf>
    <xf numFmtId="0" fontId="18" fillId="6" borderId="2" xfId="15" applyFont="1" applyFill="1" applyBorder="1" applyAlignment="1">
      <alignment vertical="center"/>
    </xf>
    <xf numFmtId="0" fontId="18" fillId="6" borderId="2" xfId="15" applyFont="1" applyFill="1" applyBorder="1" applyAlignment="1">
      <alignment horizontal="right" vertical="center"/>
    </xf>
    <xf numFmtId="0" fontId="15" fillId="6" borderId="25" xfId="15" applyFont="1" applyFill="1" applyBorder="1" applyAlignment="1">
      <alignment vertical="center"/>
    </xf>
    <xf numFmtId="9" fontId="15" fillId="0" borderId="40" xfId="16" applyFont="1" applyBorder="1" applyAlignment="1">
      <alignment vertical="center"/>
    </xf>
    <xf numFmtId="4" fontId="15" fillId="0" borderId="34" xfId="15" applyNumberFormat="1" applyFont="1" applyBorder="1" applyAlignment="1">
      <alignment vertical="center"/>
    </xf>
    <xf numFmtId="2" fontId="15" fillId="0" borderId="34" xfId="17" applyNumberFormat="1" applyFont="1" applyBorder="1" applyAlignment="1">
      <alignment horizontal="right" vertical="center"/>
    </xf>
    <xf numFmtId="10" fontId="15" fillId="0" borderId="34" xfId="15" applyNumberFormat="1" applyFont="1" applyBorder="1" applyAlignment="1">
      <alignment horizontal="center" vertical="center"/>
    </xf>
    <xf numFmtId="2" fontId="15" fillId="0" borderId="34" xfId="17" applyNumberFormat="1" applyFont="1" applyBorder="1" applyAlignment="1">
      <alignment vertical="center"/>
    </xf>
    <xf numFmtId="4" fontId="15" fillId="14" borderId="34" xfId="15" applyNumberFormat="1" applyFont="1" applyFill="1" applyBorder="1" applyAlignment="1">
      <alignment vertical="center"/>
    </xf>
    <xf numFmtId="2" fontId="15" fillId="14" borderId="34" xfId="15" applyNumberFormat="1" applyFont="1" applyFill="1" applyBorder="1" applyAlignment="1" applyProtection="1">
      <alignment horizontal="right" vertical="center"/>
      <protection locked="0"/>
    </xf>
    <xf numFmtId="4" fontId="15" fillId="0" borderId="34" xfId="17" applyNumberFormat="1" applyFont="1" applyFill="1" applyBorder="1" applyAlignment="1">
      <alignment vertical="center"/>
    </xf>
    <xf numFmtId="2" fontId="15" fillId="0" borderId="34" xfId="15" applyNumberFormat="1" applyFont="1" applyBorder="1" applyAlignment="1" applyProtection="1">
      <alignment horizontal="center" vertical="center"/>
      <protection locked="0"/>
    </xf>
    <xf numFmtId="2" fontId="15" fillId="0" borderId="34" xfId="15" applyNumberFormat="1" applyFont="1" applyBorder="1" applyAlignment="1">
      <alignment horizontal="right" vertical="center"/>
    </xf>
    <xf numFmtId="2" fontId="15" fillId="0" borderId="34" xfId="15" applyNumberFormat="1" applyFont="1" applyBorder="1" applyAlignment="1" applyProtection="1">
      <alignment horizontal="right" vertical="center"/>
      <protection locked="0"/>
    </xf>
    <xf numFmtId="4" fontId="15" fillId="0" borderId="34" xfId="17" applyNumberFormat="1" applyFont="1" applyFill="1" applyBorder="1" applyAlignment="1" applyProtection="1">
      <alignment vertical="center"/>
      <protection locked="0"/>
    </xf>
    <xf numFmtId="0" fontId="15" fillId="0" borderId="34" xfId="15" applyFont="1" applyBorder="1" applyAlignment="1" applyProtection="1">
      <alignment horizontal="center" vertical="center"/>
      <protection locked="0"/>
    </xf>
    <xf numFmtId="0" fontId="15" fillId="0" borderId="34" xfId="15" applyFont="1" applyBorder="1" applyAlignment="1" applyProtection="1">
      <alignment vertical="center"/>
      <protection locked="0"/>
    </xf>
    <xf numFmtId="0" fontId="15" fillId="0" borderId="39" xfId="15" applyFont="1" applyBorder="1" applyAlignment="1">
      <alignment horizontal="center" vertical="center"/>
    </xf>
    <xf numFmtId="9" fontId="15" fillId="0" borderId="38" xfId="16" applyFont="1" applyBorder="1" applyAlignment="1">
      <alignment vertical="center"/>
    </xf>
    <xf numFmtId="4" fontId="15" fillId="0" borderId="33" xfId="15" applyNumberFormat="1" applyFont="1" applyBorder="1" applyAlignment="1">
      <alignment vertical="center"/>
    </xf>
    <xf numFmtId="2" fontId="15" fillId="0" borderId="33" xfId="17" applyNumberFormat="1" applyFont="1" applyBorder="1" applyAlignment="1">
      <alignment horizontal="right" vertical="center"/>
    </xf>
    <xf numFmtId="10" fontId="15" fillId="0" borderId="33" xfId="15" applyNumberFormat="1" applyFont="1" applyBorder="1" applyAlignment="1">
      <alignment horizontal="center" vertical="center"/>
    </xf>
    <xf numFmtId="2" fontId="15" fillId="0" borderId="33" xfId="17" applyNumberFormat="1" applyFont="1" applyBorder="1" applyAlignment="1">
      <alignment vertical="center"/>
    </xf>
    <xf numFmtId="4" fontId="15" fillId="14" borderId="33" xfId="15" applyNumberFormat="1" applyFont="1" applyFill="1" applyBorder="1" applyAlignment="1">
      <alignment vertical="center"/>
    </xf>
    <xf numFmtId="2" fontId="15" fillId="14" borderId="33" xfId="15" applyNumberFormat="1" applyFont="1" applyFill="1" applyBorder="1" applyAlignment="1" applyProtection="1">
      <alignment horizontal="right" vertical="center"/>
      <protection locked="0"/>
    </xf>
    <xf numFmtId="4" fontId="15" fillId="0" borderId="33" xfId="17" applyNumberFormat="1" applyFont="1" applyFill="1" applyBorder="1" applyAlignment="1">
      <alignment vertical="center"/>
    </xf>
    <xf numFmtId="2" fontId="15" fillId="0" borderId="33" xfId="15" applyNumberFormat="1" applyFont="1" applyBorder="1" applyAlignment="1" applyProtection="1">
      <alignment horizontal="center" vertical="center"/>
      <protection locked="0"/>
    </xf>
    <xf numFmtId="2" fontId="15" fillId="0" borderId="33" xfId="15" applyNumberFormat="1" applyFont="1" applyBorder="1" applyAlignment="1">
      <alignment horizontal="right" vertical="center"/>
    </xf>
    <xf numFmtId="2" fontId="15" fillId="0" borderId="33" xfId="15" applyNumberFormat="1" applyFont="1" applyBorder="1" applyAlignment="1" applyProtection="1">
      <alignment horizontal="right" vertical="center"/>
      <protection locked="0"/>
    </xf>
    <xf numFmtId="4" fontId="15" fillId="0" borderId="33" xfId="17" applyNumberFormat="1" applyFont="1" applyFill="1" applyBorder="1" applyAlignment="1" applyProtection="1">
      <alignment vertical="center"/>
      <protection locked="0"/>
    </xf>
    <xf numFmtId="0" fontId="15" fillId="0" borderId="33" xfId="15" applyFont="1" applyBorder="1" applyAlignment="1" applyProtection="1">
      <alignment horizontal="center" vertical="center"/>
      <protection locked="0"/>
    </xf>
    <xf numFmtId="0" fontId="15" fillId="0" borderId="33" xfId="15" applyFont="1" applyBorder="1" applyAlignment="1" applyProtection="1">
      <alignment vertical="center"/>
      <protection locked="0"/>
    </xf>
    <xf numFmtId="0" fontId="15" fillId="0" borderId="37" xfId="15" applyFont="1" applyBorder="1" applyAlignment="1">
      <alignment horizontal="center" vertical="center"/>
    </xf>
    <xf numFmtId="9" fontId="15" fillId="0" borderId="113" xfId="16" applyFont="1" applyBorder="1" applyAlignment="1">
      <alignment vertical="center"/>
    </xf>
    <xf numFmtId="4" fontId="15" fillId="0" borderId="44" xfId="15" applyNumberFormat="1" applyFont="1" applyBorder="1" applyAlignment="1">
      <alignment vertical="center"/>
    </xf>
    <xf numFmtId="2" fontId="15" fillId="0" borderId="44" xfId="17" applyNumberFormat="1" applyFont="1" applyBorder="1" applyAlignment="1">
      <alignment horizontal="right" vertical="center"/>
    </xf>
    <xf numFmtId="10" fontId="15" fillId="0" borderId="44" xfId="15" applyNumberFormat="1" applyFont="1" applyBorder="1" applyAlignment="1">
      <alignment horizontal="center" vertical="center"/>
    </xf>
    <xf numFmtId="2" fontId="15" fillId="0" borderId="44" xfId="17" applyNumberFormat="1" applyFont="1" applyBorder="1" applyAlignment="1">
      <alignment vertical="center"/>
    </xf>
    <xf numFmtId="4" fontId="15" fillId="14" borderId="44" xfId="15" applyNumberFormat="1" applyFont="1" applyFill="1" applyBorder="1" applyAlignment="1">
      <alignment vertical="center"/>
    </xf>
    <xf numFmtId="4" fontId="15" fillId="0" borderId="44" xfId="17" applyNumberFormat="1" applyFont="1" applyFill="1" applyBorder="1" applyAlignment="1">
      <alignment vertical="center"/>
    </xf>
    <xf numFmtId="9" fontId="15" fillId="0" borderId="36" xfId="16" applyFont="1" applyBorder="1" applyAlignment="1">
      <alignment vertical="center"/>
    </xf>
    <xf numFmtId="4" fontId="15" fillId="0" borderId="32" xfId="15" applyNumberFormat="1" applyFont="1" applyBorder="1" applyAlignment="1">
      <alignment vertical="center"/>
    </xf>
    <xf numFmtId="2" fontId="15" fillId="0" borderId="32" xfId="17" applyNumberFormat="1" applyFont="1" applyBorder="1" applyAlignment="1">
      <alignment horizontal="right" vertical="center"/>
    </xf>
    <xf numFmtId="10" fontId="15" fillId="0" borderId="35" xfId="15" applyNumberFormat="1" applyFont="1" applyBorder="1" applyAlignment="1">
      <alignment horizontal="center" vertical="center"/>
    </xf>
    <xf numFmtId="2" fontId="15" fillId="0" borderId="32" xfId="17" applyNumberFormat="1" applyFont="1" applyBorder="1" applyAlignment="1">
      <alignment vertical="center"/>
    </xf>
    <xf numFmtId="4" fontId="15" fillId="14" borderId="32" xfId="15" applyNumberFormat="1" applyFont="1" applyFill="1" applyBorder="1" applyAlignment="1">
      <alignment vertical="center"/>
    </xf>
    <xf numFmtId="2" fontId="15" fillId="14" borderId="32" xfId="15" applyNumberFormat="1" applyFont="1" applyFill="1" applyBorder="1" applyAlignment="1" applyProtection="1">
      <alignment horizontal="right" vertical="center"/>
      <protection locked="0"/>
    </xf>
    <xf numFmtId="4" fontId="15" fillId="0" borderId="32" xfId="17" applyNumberFormat="1" applyFont="1" applyFill="1" applyBorder="1" applyAlignment="1">
      <alignment vertical="center"/>
    </xf>
    <xf numFmtId="2" fontId="15" fillId="0" borderId="32" xfId="15" applyNumberFormat="1" applyFont="1" applyBorder="1" applyAlignment="1" applyProtection="1">
      <alignment horizontal="center" vertical="center"/>
      <protection locked="0"/>
    </xf>
    <xf numFmtId="2" fontId="15" fillId="0" borderId="32" xfId="15" applyNumberFormat="1" applyFont="1" applyBorder="1" applyAlignment="1">
      <alignment horizontal="right" vertical="center"/>
    </xf>
    <xf numFmtId="2" fontId="15" fillId="0" borderId="32" xfId="15" applyNumberFormat="1" applyFont="1" applyBorder="1" applyAlignment="1" applyProtection="1">
      <alignment horizontal="right" vertical="center"/>
      <protection locked="0"/>
    </xf>
    <xf numFmtId="4" fontId="15" fillId="0" borderId="32" xfId="17" applyNumberFormat="1" applyFont="1" applyFill="1" applyBorder="1" applyAlignment="1" applyProtection="1">
      <alignment vertical="center"/>
      <protection locked="0"/>
    </xf>
    <xf numFmtId="0" fontId="15" fillId="0" borderId="32" xfId="15" applyFont="1" applyBorder="1" applyAlignment="1" applyProtection="1">
      <alignment horizontal="center" vertical="center"/>
      <protection locked="0"/>
    </xf>
    <xf numFmtId="0" fontId="15" fillId="0" borderId="32" xfId="15" applyFont="1" applyBorder="1" applyAlignment="1" applyProtection="1">
      <alignment vertical="center"/>
      <protection locked="0"/>
    </xf>
    <xf numFmtId="0" fontId="15" fillId="0" borderId="35" xfId="15" applyFont="1" applyBorder="1" applyAlignment="1">
      <alignment horizontal="center" vertical="center"/>
    </xf>
    <xf numFmtId="9" fontId="16" fillId="4" borderId="47" xfId="16" applyFont="1" applyFill="1" applyBorder="1" applyAlignment="1">
      <alignment vertical="center"/>
    </xf>
    <xf numFmtId="4" fontId="16" fillId="4" borderId="46" xfId="17" applyNumberFormat="1" applyFont="1" applyFill="1" applyBorder="1" applyAlignment="1">
      <alignment vertical="center"/>
    </xf>
    <xf numFmtId="2" fontId="15" fillId="4" borderId="46" xfId="17" applyNumberFormat="1" applyFont="1" applyFill="1" applyBorder="1" applyAlignment="1">
      <alignment horizontal="right" vertical="center"/>
    </xf>
    <xf numFmtId="10" fontId="15" fillId="4" borderId="46" xfId="15" applyNumberFormat="1" applyFont="1" applyFill="1" applyBorder="1" applyAlignment="1">
      <alignment horizontal="center" vertical="center"/>
    </xf>
    <xf numFmtId="2" fontId="15" fillId="4" borderId="46" xfId="17" applyNumberFormat="1" applyFont="1" applyFill="1" applyBorder="1" applyAlignment="1">
      <alignment vertical="center"/>
    </xf>
    <xf numFmtId="2" fontId="15" fillId="4" borderId="46" xfId="15" applyNumberFormat="1" applyFont="1" applyFill="1" applyBorder="1" applyAlignment="1" applyProtection="1">
      <alignment horizontal="right" vertical="center"/>
      <protection locked="0"/>
    </xf>
    <xf numFmtId="2" fontId="15" fillId="4" borderId="46" xfId="15" applyNumberFormat="1" applyFont="1" applyFill="1" applyBorder="1" applyAlignment="1" applyProtection="1">
      <alignment horizontal="center" vertical="center"/>
      <protection locked="0"/>
    </xf>
    <xf numFmtId="2" fontId="15" fillId="4" borderId="46" xfId="15" applyNumberFormat="1" applyFont="1" applyFill="1" applyBorder="1" applyAlignment="1">
      <alignment horizontal="right" vertical="center"/>
    </xf>
    <xf numFmtId="4" fontId="15" fillId="4" borderId="46" xfId="17" applyNumberFormat="1" applyFont="1" applyFill="1" applyBorder="1" applyAlignment="1">
      <alignment vertical="center"/>
    </xf>
    <xf numFmtId="4" fontId="15" fillId="4" borderId="46" xfId="17" applyNumberFormat="1" applyFont="1" applyFill="1" applyBorder="1" applyAlignment="1" applyProtection="1">
      <alignment vertical="center"/>
      <protection locked="0"/>
    </xf>
    <xf numFmtId="0" fontId="15" fillId="4" borderId="46" xfId="15" applyFont="1" applyFill="1" applyBorder="1" applyAlignment="1" applyProtection="1">
      <alignment horizontal="center" vertical="center"/>
      <protection locked="0"/>
    </xf>
    <xf numFmtId="0" fontId="16" fillId="4" borderId="46" xfId="15" quotePrefix="1" applyFont="1" applyFill="1" applyBorder="1" applyAlignment="1">
      <alignment vertical="center"/>
    </xf>
    <xf numFmtId="0" fontId="16" fillId="4" borderId="45" xfId="15" applyFont="1" applyFill="1" applyBorder="1" applyAlignment="1" applyProtection="1">
      <alignment horizontal="center" vertical="center"/>
      <protection locked="0"/>
    </xf>
    <xf numFmtId="9" fontId="15" fillId="8" borderId="47" xfId="16" applyFont="1" applyFill="1" applyBorder="1" applyAlignment="1">
      <alignment vertical="center"/>
    </xf>
    <xf numFmtId="4" fontId="15" fillId="8" borderId="46" xfId="15" applyNumberFormat="1" applyFont="1" applyFill="1" applyBorder="1" applyAlignment="1">
      <alignment vertical="center"/>
    </xf>
    <xf numFmtId="2" fontId="15" fillId="8" borderId="46" xfId="17" applyNumberFormat="1" applyFont="1" applyFill="1" applyBorder="1" applyAlignment="1">
      <alignment horizontal="right" vertical="center"/>
    </xf>
    <xf numFmtId="10" fontId="15" fillId="8" borderId="46" xfId="15" applyNumberFormat="1" applyFont="1" applyFill="1" applyBorder="1" applyAlignment="1">
      <alignment horizontal="center" vertical="center"/>
    </xf>
    <xf numFmtId="2" fontId="15" fillId="8" borderId="46" xfId="17" applyNumberFormat="1" applyFont="1" applyFill="1" applyBorder="1" applyAlignment="1">
      <alignment vertical="center"/>
    </xf>
    <xf numFmtId="2" fontId="15" fillId="8" borderId="46" xfId="15" applyNumberFormat="1" applyFont="1" applyFill="1" applyBorder="1" applyAlignment="1" applyProtection="1">
      <alignment horizontal="right" vertical="center"/>
      <protection locked="0"/>
    </xf>
    <xf numFmtId="4" fontId="15" fillId="8" borderId="46" xfId="17" applyNumberFormat="1" applyFont="1" applyFill="1" applyBorder="1" applyAlignment="1">
      <alignment vertical="center"/>
    </xf>
    <xf numFmtId="2" fontId="15" fillId="8" borderId="46" xfId="15" applyNumberFormat="1" applyFont="1" applyFill="1" applyBorder="1" applyAlignment="1" applyProtection="1">
      <alignment horizontal="center" vertical="center"/>
      <protection locked="0"/>
    </xf>
    <xf numFmtId="2" fontId="15" fillId="8" borderId="46" xfId="15" applyNumberFormat="1" applyFont="1" applyFill="1" applyBorder="1" applyAlignment="1">
      <alignment horizontal="right" vertical="center"/>
    </xf>
    <xf numFmtId="4" fontId="15" fillId="8" borderId="46" xfId="17" applyNumberFormat="1" applyFont="1" applyFill="1" applyBorder="1" applyAlignment="1" applyProtection="1">
      <alignment vertical="center"/>
      <protection locked="0"/>
    </xf>
    <xf numFmtId="0" fontId="15" fillId="8" borderId="46" xfId="15" applyFont="1" applyFill="1" applyBorder="1" applyAlignment="1" applyProtection="1">
      <alignment horizontal="center" vertical="center"/>
      <protection locked="0"/>
    </xf>
    <xf numFmtId="0" fontId="16" fillId="8" borderId="46" xfId="15" quotePrefix="1" applyFont="1" applyFill="1" applyBorder="1" applyAlignment="1">
      <alignment vertical="center"/>
    </xf>
    <xf numFmtId="0" fontId="15" fillId="8" borderId="45" xfId="15" applyFont="1" applyFill="1" applyBorder="1" applyAlignment="1">
      <alignment horizontal="center" vertical="center"/>
    </xf>
    <xf numFmtId="10" fontId="15" fillId="0" borderId="39" xfId="15" applyNumberFormat="1" applyFont="1" applyBorder="1" applyAlignment="1">
      <alignment horizontal="center" vertical="center"/>
    </xf>
    <xf numFmtId="4" fontId="15" fillId="0" borderId="40" xfId="15" applyNumberFormat="1" applyFont="1" applyBorder="1" applyAlignment="1">
      <alignment vertical="center"/>
    </xf>
    <xf numFmtId="2" fontId="15" fillId="0" borderId="39" xfId="15" applyNumberFormat="1" applyFont="1" applyBorder="1" applyAlignment="1" applyProtection="1">
      <alignment horizontal="center" vertical="center"/>
      <protection locked="0"/>
    </xf>
    <xf numFmtId="4" fontId="15" fillId="0" borderId="43" xfId="15" applyNumberFormat="1" applyFont="1" applyBorder="1" applyAlignment="1">
      <alignment vertical="center"/>
    </xf>
    <xf numFmtId="10" fontId="15" fillId="0" borderId="37" xfId="15" applyNumberFormat="1" applyFont="1" applyBorder="1" applyAlignment="1">
      <alignment horizontal="center" vertical="center"/>
    </xf>
    <xf numFmtId="4" fontId="15" fillId="0" borderId="38" xfId="15" applyNumberFormat="1" applyFont="1" applyBorder="1" applyAlignment="1">
      <alignment vertical="center"/>
    </xf>
    <xf numFmtId="2" fontId="15" fillId="0" borderId="37" xfId="15" applyNumberFormat="1" applyFont="1" applyBorder="1" applyAlignment="1" applyProtection="1">
      <alignment horizontal="center" vertical="center"/>
      <protection locked="0"/>
    </xf>
    <xf numFmtId="4" fontId="15" fillId="0" borderId="42" xfId="15" applyNumberFormat="1" applyFont="1" applyBorder="1" applyAlignment="1">
      <alignment vertical="center"/>
    </xf>
    <xf numFmtId="4" fontId="15" fillId="0" borderId="36" xfId="15" applyNumberFormat="1" applyFont="1" applyBorder="1" applyAlignment="1">
      <alignment vertical="center"/>
    </xf>
    <xf numFmtId="2" fontId="15" fillId="0" borderId="35" xfId="15" applyNumberFormat="1" applyFont="1" applyBorder="1" applyAlignment="1" applyProtection="1">
      <alignment horizontal="center" vertical="center"/>
      <protection locked="0"/>
    </xf>
    <xf numFmtId="4" fontId="15" fillId="0" borderId="41" xfId="15" applyNumberFormat="1" applyFont="1" applyBorder="1" applyAlignment="1">
      <alignment vertical="center"/>
    </xf>
    <xf numFmtId="10" fontId="15" fillId="4" borderId="45" xfId="15" applyNumberFormat="1" applyFont="1" applyFill="1" applyBorder="1" applyAlignment="1">
      <alignment horizontal="center" vertical="center"/>
    </xf>
    <xf numFmtId="2" fontId="15" fillId="4" borderId="45" xfId="15" applyNumberFormat="1" applyFont="1" applyFill="1" applyBorder="1" applyAlignment="1" applyProtection="1">
      <alignment horizontal="center" vertical="center"/>
      <protection locked="0"/>
    </xf>
    <xf numFmtId="0" fontId="15" fillId="4" borderId="46" xfId="15" applyFont="1" applyFill="1" applyBorder="1" applyAlignment="1">
      <alignment horizontal="center" vertical="center"/>
    </xf>
    <xf numFmtId="4" fontId="15" fillId="0" borderId="33" xfId="15" applyNumberFormat="1" applyFont="1" applyBorder="1" applyAlignment="1" applyProtection="1">
      <alignment horizontal="right" vertical="center"/>
      <protection locked="0"/>
    </xf>
    <xf numFmtId="4" fontId="15" fillId="0" borderId="32" xfId="15" applyNumberFormat="1" applyFont="1" applyBorder="1" applyAlignment="1" applyProtection="1">
      <alignment horizontal="right" vertical="center"/>
      <protection locked="0"/>
    </xf>
    <xf numFmtId="9" fontId="15" fillId="4" borderId="47" xfId="16" applyFont="1" applyFill="1" applyBorder="1" applyAlignment="1">
      <alignment vertical="center"/>
    </xf>
    <xf numFmtId="0" fontId="15" fillId="4" borderId="47" xfId="15" applyFont="1" applyFill="1" applyBorder="1" applyAlignment="1">
      <alignment vertical="center"/>
    </xf>
    <xf numFmtId="2" fontId="15" fillId="4" borderId="46" xfId="15" applyNumberFormat="1" applyFont="1" applyFill="1" applyBorder="1" applyAlignment="1">
      <alignment horizontal="center" vertical="center"/>
    </xf>
    <xf numFmtId="2" fontId="15" fillId="4" borderId="46" xfId="17" applyNumberFormat="1" applyFont="1" applyFill="1" applyBorder="1" applyAlignment="1">
      <alignment horizontal="center" vertical="center"/>
    </xf>
    <xf numFmtId="0" fontId="16" fillId="0" borderId="114" xfId="15" applyFont="1" applyBorder="1" applyAlignment="1">
      <alignment horizontal="center" vertical="center"/>
    </xf>
    <xf numFmtId="0" fontId="16" fillId="0" borderId="115" xfId="15" applyFont="1" applyBorder="1" applyAlignment="1">
      <alignment horizontal="center" vertical="center"/>
    </xf>
    <xf numFmtId="0" fontId="16" fillId="0" borderId="95" xfId="15" applyFont="1" applyBorder="1" applyAlignment="1">
      <alignment horizontal="center" vertical="center"/>
    </xf>
    <xf numFmtId="0" fontId="16" fillId="0" borderId="97" xfId="15" applyFont="1" applyBorder="1" applyAlignment="1">
      <alignment horizontal="center" vertical="center"/>
    </xf>
    <xf numFmtId="0" fontId="16" fillId="0" borderId="96" xfId="15" applyFont="1" applyBorder="1" applyAlignment="1">
      <alignment horizontal="center" vertical="center" wrapText="1"/>
    </xf>
    <xf numFmtId="0" fontId="16" fillId="0" borderId="9" xfId="15" applyFont="1" applyBorder="1" applyAlignment="1">
      <alignment horizontal="center" vertical="center"/>
    </xf>
    <xf numFmtId="1" fontId="16" fillId="0" borderId="0" xfId="15" applyNumberFormat="1" applyFont="1" applyAlignment="1">
      <alignment horizontal="right" vertical="center"/>
    </xf>
    <xf numFmtId="14" fontId="18" fillId="0" borderId="0" xfId="15" applyNumberFormat="1" applyFont="1" applyAlignment="1">
      <alignment vertical="center" shrinkToFit="1"/>
    </xf>
    <xf numFmtId="14" fontId="15" fillId="0" borderId="0" xfId="15" applyNumberFormat="1" applyFont="1" applyAlignment="1">
      <alignment horizontal="left" vertical="center" shrinkToFit="1"/>
    </xf>
    <xf numFmtId="0" fontId="16" fillId="0" borderId="0" xfId="15" applyFont="1" applyAlignment="1">
      <alignment horizontal="center" vertical="center"/>
    </xf>
    <xf numFmtId="0" fontId="30" fillId="0" borderId="0" xfId="15" applyAlignment="1">
      <alignment horizontal="center" vertical="center"/>
    </xf>
    <xf numFmtId="0" fontId="30" fillId="0" borderId="0" xfId="15" applyAlignment="1">
      <alignment vertical="center"/>
    </xf>
    <xf numFmtId="0" fontId="7" fillId="0" borderId="0" xfId="15" applyFont="1" applyAlignment="1">
      <alignment horizontal="center" vertical="center"/>
    </xf>
    <xf numFmtId="0" fontId="23" fillId="0" borderId="118" xfId="10" applyFont="1" applyBorder="1" applyAlignment="1">
      <alignment horizontal="center" vertical="center"/>
    </xf>
    <xf numFmtId="0" fontId="27" fillId="0" borderId="28" xfId="14" applyFont="1" applyBorder="1" applyAlignment="1">
      <alignment vertical="center" wrapText="1"/>
    </xf>
    <xf numFmtId="0" fontId="23" fillId="0" borderId="28" xfId="10" applyFont="1" applyBorder="1" applyAlignment="1">
      <alignment horizontal="center" vertical="center"/>
    </xf>
    <xf numFmtId="2" fontId="19" fillId="0" borderId="28" xfId="10" applyNumberFormat="1" applyFont="1" applyBorder="1" applyAlignment="1">
      <alignment horizontal="center" vertical="center"/>
    </xf>
    <xf numFmtId="2" fontId="19" fillId="0" borderId="28" xfId="10" applyNumberFormat="1" applyFont="1" applyBorder="1" applyAlignment="1">
      <alignment vertical="center"/>
    </xf>
    <xf numFmtId="2" fontId="19" fillId="0" borderId="18" xfId="10" applyNumberFormat="1" applyFont="1" applyBorder="1" applyAlignment="1">
      <alignment vertical="center"/>
    </xf>
    <xf numFmtId="0" fontId="23" fillId="0" borderId="119" xfId="10" applyFont="1" applyBorder="1" applyAlignment="1">
      <alignment horizontal="center" vertical="center"/>
    </xf>
    <xf numFmtId="0" fontId="27" fillId="0" borderId="116" xfId="14" applyFont="1" applyBorder="1" applyAlignment="1">
      <alignment vertical="center" wrapText="1"/>
    </xf>
    <xf numFmtId="0" fontId="23" fillId="0" borderId="116" xfId="10" applyFont="1" applyBorder="1" applyAlignment="1">
      <alignment horizontal="center" vertical="center"/>
    </xf>
    <xf numFmtId="2" fontId="19" fillId="0" borderId="116" xfId="10" applyNumberFormat="1" applyFont="1" applyBorder="1" applyAlignment="1">
      <alignment horizontal="center" vertical="center"/>
    </xf>
    <xf numFmtId="2" fontId="19" fillId="0" borderId="116" xfId="10" applyNumberFormat="1" applyFont="1" applyBorder="1" applyAlignment="1">
      <alignment vertical="center"/>
    </xf>
    <xf numFmtId="2" fontId="19" fillId="0" borderId="117" xfId="10" applyNumberFormat="1" applyFont="1" applyBorder="1" applyAlignment="1">
      <alignment vertical="center"/>
    </xf>
    <xf numFmtId="0" fontId="6" fillId="0" borderId="9" xfId="10" applyFont="1" applyBorder="1" applyAlignment="1">
      <alignment horizontal="center" vertical="center"/>
    </xf>
    <xf numFmtId="0" fontId="12" fillId="0" borderId="0" xfId="10" applyFont="1" applyAlignment="1">
      <alignment horizontal="center"/>
    </xf>
    <xf numFmtId="0" fontId="2" fillId="0" borderId="0" xfId="10" applyAlignment="1">
      <alignment horizontal="center"/>
    </xf>
    <xf numFmtId="0" fontId="14" fillId="0" borderId="0" xfId="10" applyFont="1" applyAlignment="1">
      <alignment horizontal="center"/>
    </xf>
    <xf numFmtId="0" fontId="5" fillId="0" borderId="0" xfId="10" applyFont="1" applyAlignment="1">
      <alignment horizontal="center"/>
    </xf>
    <xf numFmtId="0" fontId="4" fillId="0" borderId="0" xfId="10" applyFont="1" applyAlignment="1">
      <alignment horizontal="right"/>
    </xf>
    <xf numFmtId="0" fontId="2" fillId="0" borderId="0" xfId="10" applyAlignment="1">
      <alignment horizontal="right"/>
    </xf>
    <xf numFmtId="0" fontId="2" fillId="0" borderId="4" xfId="10" applyBorder="1" applyAlignment="1">
      <alignment horizontal="right"/>
    </xf>
    <xf numFmtId="0" fontId="11" fillId="0" borderId="3" xfId="10" applyFont="1" applyBorder="1" applyAlignment="1">
      <alignment horizontal="center"/>
    </xf>
    <xf numFmtId="0" fontId="3" fillId="0" borderId="27" xfId="10" applyFont="1" applyBorder="1" applyAlignment="1">
      <alignment horizontal="center"/>
    </xf>
    <xf numFmtId="0" fontId="6" fillId="0" borderId="6" xfId="10" applyFont="1" applyBorder="1" applyAlignment="1">
      <alignment horizontal="left" vertical="center"/>
    </xf>
    <xf numFmtId="0" fontId="6" fillId="0" borderId="7" xfId="10" applyFont="1" applyBorder="1" applyAlignment="1">
      <alignment horizontal="left" vertical="center"/>
    </xf>
    <xf numFmtId="0" fontId="6" fillId="0" borderId="8" xfId="10" applyFont="1" applyBorder="1" applyAlignment="1">
      <alignment horizontal="left" vertical="center"/>
    </xf>
    <xf numFmtId="0" fontId="8" fillId="0" borderId="0" xfId="10" applyFont="1"/>
    <xf numFmtId="0" fontId="2" fillId="0" borderId="0" xfId="10"/>
    <xf numFmtId="0" fontId="6" fillId="0" borderId="7" xfId="10" applyFont="1" applyBorder="1"/>
    <xf numFmtId="0" fontId="6" fillId="0" borderId="8" xfId="10" applyFont="1" applyBorder="1"/>
    <xf numFmtId="0" fontId="6" fillId="0" borderId="0" xfId="10" applyFont="1" applyAlignment="1">
      <alignment horizontal="center" vertical="center"/>
    </xf>
    <xf numFmtId="14" fontId="10" fillId="3" borderId="6" xfId="10" applyNumberFormat="1" applyFont="1" applyFill="1" applyBorder="1" applyAlignment="1">
      <alignment horizontal="center" vertical="center"/>
    </xf>
    <xf numFmtId="14" fontId="10" fillId="3" borderId="8" xfId="10" applyNumberFormat="1" applyFont="1" applyFill="1" applyBorder="1" applyAlignment="1">
      <alignment horizontal="center" vertical="center"/>
    </xf>
    <xf numFmtId="0" fontId="10" fillId="0" borderId="24" xfId="10" applyFont="1" applyBorder="1" applyAlignment="1">
      <alignment horizontal="left" vertical="top" wrapText="1"/>
    </xf>
    <xf numFmtId="0" fontId="10" fillId="0" borderId="0" xfId="10" applyFont="1" applyAlignment="1">
      <alignment horizontal="left" vertical="top" wrapText="1"/>
    </xf>
    <xf numFmtId="0" fontId="10" fillId="0" borderId="4" xfId="10" applyFont="1" applyBorder="1" applyAlignment="1">
      <alignment horizontal="left" vertical="top" wrapText="1"/>
    </xf>
    <xf numFmtId="0" fontId="7" fillId="0" borderId="0" xfId="10" applyFont="1"/>
    <xf numFmtId="4" fontId="6" fillId="2" borderId="6" xfId="10" applyNumberFormat="1" applyFont="1" applyFill="1" applyBorder="1"/>
    <xf numFmtId="4" fontId="6" fillId="2" borderId="7" xfId="10" applyNumberFormat="1" applyFont="1" applyFill="1" applyBorder="1"/>
    <xf numFmtId="4" fontId="6" fillId="2" borderId="8" xfId="10" applyNumberFormat="1" applyFont="1" applyFill="1" applyBorder="1"/>
    <xf numFmtId="0" fontId="7" fillId="0" borderId="24" xfId="10" applyFont="1" applyBorder="1" applyAlignment="1">
      <alignment horizontal="left" wrapText="1"/>
    </xf>
    <xf numFmtId="0" fontId="7" fillId="0" borderId="0" xfId="10" applyFont="1" applyAlignment="1">
      <alignment horizontal="left" wrapText="1"/>
    </xf>
    <xf numFmtId="4" fontId="6" fillId="2" borderId="21" xfId="10" applyNumberFormat="1" applyFont="1" applyFill="1" applyBorder="1" applyAlignment="1">
      <alignment horizontal="right" vertical="center"/>
    </xf>
    <xf numFmtId="4" fontId="6" fillId="2" borderId="28" xfId="10" applyNumberFormat="1" applyFont="1" applyFill="1" applyBorder="1" applyAlignment="1">
      <alignment horizontal="right" vertical="center"/>
    </xf>
    <xf numFmtId="4" fontId="6" fillId="2" borderId="18" xfId="10" applyNumberFormat="1" applyFont="1" applyFill="1" applyBorder="1" applyAlignment="1">
      <alignment horizontal="right" vertical="center"/>
    </xf>
    <xf numFmtId="4" fontId="6" fillId="2" borderId="19" xfId="10" applyNumberFormat="1" applyFont="1" applyFill="1" applyBorder="1" applyAlignment="1">
      <alignment horizontal="right" vertical="center"/>
    </xf>
    <xf numFmtId="4" fontId="6" fillId="2" borderId="5" xfId="10" applyNumberFormat="1" applyFont="1" applyFill="1" applyBorder="1" applyAlignment="1">
      <alignment horizontal="right" vertical="center"/>
    </xf>
    <xf numFmtId="4" fontId="6" fillId="2" borderId="20" xfId="10" applyNumberFormat="1" applyFont="1" applyFill="1" applyBorder="1" applyAlignment="1">
      <alignment horizontal="right" vertical="center"/>
    </xf>
    <xf numFmtId="0" fontId="26" fillId="9" borderId="9" xfId="1" applyFont="1" applyFill="1" applyBorder="1" applyAlignment="1">
      <alignment horizontal="center"/>
    </xf>
    <xf numFmtId="0" fontId="26" fillId="9" borderId="60" xfId="1" applyFont="1" applyFill="1" applyBorder="1" applyAlignment="1">
      <alignment horizontal="center" vertical="center"/>
    </xf>
    <xf numFmtId="0" fontId="23" fillId="11" borderId="70" xfId="1" quotePrefix="1" applyFont="1" applyFill="1" applyBorder="1" applyAlignment="1">
      <alignment horizontal="center" vertical="center" wrapText="1"/>
    </xf>
    <xf numFmtId="0" fontId="23" fillId="11" borderId="7" xfId="1" quotePrefix="1" applyFont="1" applyFill="1" applyBorder="1" applyAlignment="1">
      <alignment horizontal="center" vertical="center" wrapText="1"/>
    </xf>
    <xf numFmtId="0" fontId="23" fillId="11" borderId="69" xfId="1" quotePrefix="1" applyFont="1" applyFill="1" applyBorder="1" applyAlignment="1">
      <alignment horizontal="center" vertical="center" wrapText="1"/>
    </xf>
    <xf numFmtId="0" fontId="11" fillId="0" borderId="1" xfId="1" applyFont="1" applyBorder="1" applyAlignment="1">
      <alignment horizontal="center"/>
    </xf>
    <xf numFmtId="0" fontId="11" fillId="0" borderId="0" xfId="1" applyFont="1" applyAlignment="1">
      <alignment horizontal="center"/>
    </xf>
    <xf numFmtId="0" fontId="11" fillId="0" borderId="59" xfId="1" applyFont="1" applyBorder="1" applyAlignment="1">
      <alignment horizontal="center"/>
    </xf>
    <xf numFmtId="0" fontId="25" fillId="0" borderId="1" xfId="1" applyFont="1" applyBorder="1" applyAlignment="1">
      <alignment horizontal="center"/>
    </xf>
    <xf numFmtId="0" fontId="25" fillId="0" borderId="0" xfId="1" applyFont="1" applyAlignment="1">
      <alignment horizontal="center"/>
    </xf>
    <xf numFmtId="0" fontId="25" fillId="0" borderId="59" xfId="1" applyFont="1" applyBorder="1" applyAlignment="1">
      <alignment horizontal="center"/>
    </xf>
    <xf numFmtId="0" fontId="4" fillId="0" borderId="1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59" xfId="1" applyFont="1" applyBorder="1" applyAlignment="1">
      <alignment horizontal="center" vertical="center"/>
    </xf>
    <xf numFmtId="0" fontId="21" fillId="0" borderId="6" xfId="1" applyFont="1" applyBorder="1" applyAlignment="1">
      <alignment horizontal="center" vertical="center"/>
    </xf>
    <xf numFmtId="0" fontId="21" fillId="0" borderId="7" xfId="1" applyFont="1" applyBorder="1" applyAlignment="1">
      <alignment horizontal="center" vertical="center"/>
    </xf>
    <xf numFmtId="0" fontId="21" fillId="0" borderId="8" xfId="1" applyFont="1" applyBorder="1" applyAlignment="1">
      <alignment horizontal="center" vertical="center"/>
    </xf>
    <xf numFmtId="0" fontId="23" fillId="0" borderId="6" xfId="1" applyFont="1" applyBorder="1" applyAlignment="1">
      <alignment horizontal="center"/>
    </xf>
    <xf numFmtId="0" fontId="23" fillId="0" borderId="7" xfId="1" applyFont="1" applyBorder="1" applyAlignment="1">
      <alignment horizontal="center"/>
    </xf>
    <xf numFmtId="0" fontId="23" fillId="0" borderId="8" xfId="1" applyFont="1" applyBorder="1" applyAlignment="1">
      <alignment horizontal="center"/>
    </xf>
    <xf numFmtId="0" fontId="26" fillId="9" borderId="61" xfId="1" applyFont="1" applyFill="1" applyBorder="1" applyAlignment="1">
      <alignment horizontal="center" vertical="center" wrapText="1"/>
    </xf>
    <xf numFmtId="0" fontId="26" fillId="9" borderId="9" xfId="1" applyFont="1" applyFill="1" applyBorder="1" applyAlignment="1">
      <alignment horizontal="center" vertical="center" wrapText="1"/>
    </xf>
    <xf numFmtId="0" fontId="19" fillId="0" borderId="0" xfId="1" applyFont="1" applyAlignment="1">
      <alignment horizontal="right"/>
    </xf>
    <xf numFmtId="2" fontId="19" fillId="0" borderId="9" xfId="10" applyNumberFormat="1" applyFont="1" applyBorder="1" applyAlignment="1">
      <alignment horizontal="right" vertical="center"/>
    </xf>
    <xf numFmtId="2" fontId="19" fillId="0" borderId="9" xfId="1" applyNumberFormat="1" applyFont="1" applyBorder="1" applyAlignment="1">
      <alignment horizontal="right" vertical="center"/>
    </xf>
    <xf numFmtId="0" fontId="23" fillId="8" borderId="70" xfId="1" quotePrefix="1" applyFont="1" applyFill="1" applyBorder="1" applyAlignment="1">
      <alignment horizontal="center" vertical="center" wrapText="1"/>
    </xf>
    <xf numFmtId="0" fontId="23" fillId="8" borderId="7" xfId="1" quotePrefix="1" applyFont="1" applyFill="1" applyBorder="1" applyAlignment="1">
      <alignment horizontal="center" vertical="center" wrapText="1"/>
    </xf>
    <xf numFmtId="0" fontId="23" fillId="8" borderId="69" xfId="1" quotePrefix="1" applyFont="1" applyFill="1" applyBorder="1" applyAlignment="1">
      <alignment horizontal="center" vertical="center" wrapText="1"/>
    </xf>
    <xf numFmtId="0" fontId="20" fillId="0" borderId="0" xfId="1" applyFont="1" applyAlignment="1">
      <alignment horizontal="left"/>
    </xf>
    <xf numFmtId="0" fontId="20" fillId="0" borderId="28" xfId="1" applyFont="1" applyBorder="1" applyAlignment="1">
      <alignment horizontal="center"/>
    </xf>
    <xf numFmtId="0" fontId="20" fillId="0" borderId="0" xfId="1" applyFont="1" applyAlignment="1">
      <alignment horizontal="center"/>
    </xf>
    <xf numFmtId="0" fontId="21" fillId="0" borderId="0" xfId="1" applyFont="1" applyAlignment="1">
      <alignment horizontal="center"/>
    </xf>
    <xf numFmtId="0" fontId="31" fillId="5" borderId="0" xfId="15" applyFont="1" applyFill="1" applyAlignment="1" applyProtection="1">
      <alignment horizontal="center" vertical="center"/>
      <protection locked="0"/>
    </xf>
    <xf numFmtId="0" fontId="17" fillId="5" borderId="9" xfId="15" applyFont="1" applyFill="1" applyBorder="1" applyAlignment="1" applyProtection="1">
      <alignment horizontal="center" vertical="center"/>
      <protection locked="0"/>
    </xf>
    <xf numFmtId="14" fontId="18" fillId="5" borderId="9" xfId="15" applyNumberFormat="1" applyFont="1" applyFill="1" applyBorder="1" applyAlignment="1" applyProtection="1">
      <alignment horizontal="center" vertical="center" shrinkToFit="1"/>
      <protection locked="0"/>
    </xf>
    <xf numFmtId="0" fontId="16" fillId="5" borderId="9" xfId="15" applyFont="1" applyFill="1" applyBorder="1" applyAlignment="1">
      <alignment horizontal="center" vertical="center"/>
    </xf>
    <xf numFmtId="0" fontId="18" fillId="5" borderId="9" xfId="15" applyFont="1" applyFill="1" applyBorder="1" applyAlignment="1" applyProtection="1">
      <alignment horizontal="center" vertical="center" shrinkToFit="1"/>
      <protection locked="0"/>
    </xf>
    <xf numFmtId="14" fontId="18" fillId="5" borderId="9" xfId="15" applyNumberFormat="1" applyFont="1" applyFill="1" applyBorder="1" applyAlignment="1">
      <alignment horizontal="center" vertical="center" shrinkToFit="1"/>
    </xf>
    <xf numFmtId="4" fontId="17" fillId="5" borderId="9" xfId="17" applyNumberFormat="1" applyFont="1" applyFill="1" applyBorder="1" applyAlignment="1" applyProtection="1">
      <alignment horizontal="right" vertical="center"/>
      <protection locked="0"/>
    </xf>
    <xf numFmtId="0" fontId="16" fillId="5" borderId="22" xfId="15" applyFont="1" applyFill="1" applyBorder="1" applyAlignment="1">
      <alignment horizontal="center" vertical="center"/>
    </xf>
    <xf numFmtId="0" fontId="16" fillId="5" borderId="15" xfId="15" applyFont="1" applyFill="1" applyBorder="1" applyAlignment="1">
      <alignment horizontal="center" vertical="center"/>
    </xf>
    <xf numFmtId="0" fontId="16" fillId="5" borderId="23" xfId="15" applyFont="1" applyFill="1" applyBorder="1" applyAlignment="1">
      <alignment horizontal="center" vertical="center"/>
    </xf>
    <xf numFmtId="0" fontId="16" fillId="0" borderId="98" xfId="15" applyFont="1" applyBorder="1" applyAlignment="1">
      <alignment horizontal="center" vertical="center" wrapText="1"/>
    </xf>
    <xf numFmtId="0" fontId="16" fillId="0" borderId="95" xfId="15" applyFont="1" applyBorder="1" applyAlignment="1">
      <alignment horizontal="center" vertical="center" wrapText="1"/>
    </xf>
    <xf numFmtId="0" fontId="16" fillId="0" borderId="11" xfId="15" applyFont="1" applyBorder="1" applyAlignment="1">
      <alignment horizontal="center" vertical="center"/>
    </xf>
    <xf numFmtId="0" fontId="16" fillId="0" borderId="12" xfId="15" applyFont="1" applyBorder="1" applyAlignment="1">
      <alignment horizontal="center" vertical="center"/>
    </xf>
    <xf numFmtId="0" fontId="16" fillId="0" borderId="29" xfId="15" applyFont="1" applyBorder="1" applyAlignment="1">
      <alignment horizontal="center" vertical="center"/>
    </xf>
    <xf numFmtId="0" fontId="16" fillId="0" borderId="30" xfId="15" applyFont="1" applyBorder="1" applyAlignment="1">
      <alignment horizontal="center" vertical="center"/>
    </xf>
    <xf numFmtId="10" fontId="16" fillId="5" borderId="10" xfId="16" applyNumberFormat="1" applyFont="1" applyFill="1" applyBorder="1" applyAlignment="1">
      <alignment horizontal="center" vertical="center"/>
    </xf>
    <xf numFmtId="10" fontId="16" fillId="5" borderId="12" xfId="16" applyNumberFormat="1" applyFont="1" applyFill="1" applyBorder="1" applyAlignment="1">
      <alignment horizontal="center" vertical="center"/>
    </xf>
    <xf numFmtId="0" fontId="16" fillId="0" borderId="8" xfId="15" applyFont="1" applyBorder="1" applyAlignment="1">
      <alignment horizontal="center" vertical="center" wrapText="1"/>
    </xf>
    <xf numFmtId="0" fontId="16" fillId="0" borderId="115" xfId="15" applyFont="1" applyBorder="1" applyAlignment="1">
      <alignment horizontal="center" vertical="center" wrapText="1"/>
    </xf>
    <xf numFmtId="0" fontId="16" fillId="0" borderId="9" xfId="15" applyFont="1" applyBorder="1" applyAlignment="1">
      <alignment horizontal="center" vertical="center" wrapText="1"/>
    </xf>
    <xf numFmtId="0" fontId="16" fillId="0" borderId="96" xfId="15" applyFont="1" applyBorder="1" applyAlignment="1">
      <alignment horizontal="center" vertical="center" wrapText="1"/>
    </xf>
    <xf numFmtId="0" fontId="16" fillId="0" borderId="6" xfId="15" applyFont="1" applyBorder="1" applyAlignment="1">
      <alignment horizontal="center" vertical="center" wrapText="1"/>
    </xf>
    <xf numFmtId="0" fontId="16" fillId="0" borderId="114" xfId="15" applyFont="1" applyBorder="1" applyAlignment="1">
      <alignment horizontal="center" vertical="center" wrapText="1"/>
    </xf>
    <xf numFmtId="0" fontId="16" fillId="0" borderId="99" xfId="15" applyFont="1" applyBorder="1" applyAlignment="1">
      <alignment horizontal="center" vertical="center" wrapText="1"/>
    </xf>
    <xf numFmtId="0" fontId="16" fillId="0" borderId="97" xfId="15" applyFont="1" applyBorder="1" applyAlignment="1">
      <alignment horizontal="center" vertical="center" wrapText="1"/>
    </xf>
    <xf numFmtId="0" fontId="16" fillId="0" borderId="99" xfId="15" applyFont="1" applyBorder="1" applyAlignment="1">
      <alignment horizontal="center" vertical="center"/>
    </xf>
    <xf numFmtId="0" fontId="16" fillId="0" borderId="98" xfId="15" applyFont="1" applyBorder="1" applyAlignment="1">
      <alignment horizontal="center" vertical="center"/>
    </xf>
    <xf numFmtId="0" fontId="16" fillId="0" borderId="8" xfId="15" applyFont="1" applyBorder="1" applyAlignment="1">
      <alignment horizontal="center" vertical="center"/>
    </xf>
    <xf numFmtId="0" fontId="16" fillId="0" borderId="6" xfId="15" applyFont="1" applyBorder="1" applyAlignment="1">
      <alignment horizontal="center" vertical="center"/>
    </xf>
    <xf numFmtId="0" fontId="16" fillId="0" borderId="97" xfId="15" applyFont="1" applyBorder="1" applyAlignment="1">
      <alignment horizontal="center" vertical="center"/>
    </xf>
    <xf numFmtId="0" fontId="16" fillId="0" borderId="9" xfId="15" applyFont="1" applyBorder="1" applyAlignment="1">
      <alignment horizontal="center" vertical="center"/>
    </xf>
    <xf numFmtId="0" fontId="16" fillId="0" borderId="96" xfId="15" applyFont="1" applyBorder="1" applyAlignment="1">
      <alignment horizontal="center" vertical="center"/>
    </xf>
    <xf numFmtId="0" fontId="16" fillId="0" borderId="95" xfId="15" applyFont="1" applyBorder="1" applyAlignment="1">
      <alignment horizontal="center" vertical="center"/>
    </xf>
    <xf numFmtId="0" fontId="16" fillId="0" borderId="16" xfId="15" applyFont="1" applyBorder="1" applyAlignment="1">
      <alignment horizontal="center" vertical="center" wrapText="1"/>
    </xf>
    <xf numFmtId="0" fontId="16" fillId="0" borderId="17" xfId="15" applyFont="1" applyBorder="1" applyAlignment="1">
      <alignment horizontal="center" vertical="center" wrapText="1"/>
    </xf>
    <xf numFmtId="0" fontId="16" fillId="0" borderId="49" xfId="15" applyFont="1" applyBorder="1" applyAlignment="1">
      <alignment horizontal="center" vertical="center" wrapText="1"/>
    </xf>
    <xf numFmtId="10" fontId="16" fillId="5" borderId="29" xfId="16" applyNumberFormat="1" applyFont="1" applyFill="1" applyBorder="1" applyAlignment="1">
      <alignment horizontal="center" vertical="center"/>
    </xf>
    <xf numFmtId="10" fontId="16" fillId="5" borderId="30" xfId="16" applyNumberFormat="1" applyFont="1" applyFill="1" applyBorder="1" applyAlignment="1">
      <alignment horizontal="center" vertical="center"/>
    </xf>
    <xf numFmtId="0" fontId="16" fillId="0" borderId="0" xfId="15" applyFont="1" applyAlignment="1">
      <alignment vertical="center"/>
    </xf>
    <xf numFmtId="0" fontId="15" fillId="0" borderId="0" xfId="15" applyFont="1" applyAlignment="1">
      <alignment vertical="center"/>
    </xf>
    <xf numFmtId="0" fontId="17" fillId="0" borderId="0" xfId="15" applyFont="1" applyAlignment="1">
      <alignment horizontal="right" vertical="center"/>
    </xf>
    <xf numFmtId="4" fontId="28" fillId="6" borderId="2" xfId="15" applyNumberFormat="1" applyFont="1" applyFill="1" applyBorder="1" applyAlignment="1">
      <alignment horizontal="right" vertical="center"/>
    </xf>
    <xf numFmtId="4" fontId="28" fillId="6" borderId="26" xfId="15" applyNumberFormat="1" applyFont="1" applyFill="1" applyBorder="1" applyAlignment="1">
      <alignment horizontal="right" vertical="center"/>
    </xf>
    <xf numFmtId="0" fontId="16" fillId="0" borderId="114" xfId="15" applyFont="1" applyBorder="1" applyAlignment="1">
      <alignment horizontal="center" vertical="center"/>
    </xf>
    <xf numFmtId="0" fontId="16" fillId="0" borderId="30" xfId="15" applyFont="1" applyBorder="1" applyAlignment="1">
      <alignment horizontal="center" vertical="center" wrapText="1"/>
    </xf>
    <xf numFmtId="0" fontId="16" fillId="0" borderId="10" xfId="15" applyFont="1" applyBorder="1" applyAlignment="1">
      <alignment horizontal="center" vertical="center"/>
    </xf>
  </cellXfs>
  <cellStyles count="18">
    <cellStyle name="Millares 2" xfId="4" xr:uid="{00000000-0005-0000-0000-000000000000}"/>
    <cellStyle name="Millares 3" xfId="17" xr:uid="{2D236A2C-A693-4A34-8F8D-1CD78F955A4C}"/>
    <cellStyle name="Normal" xfId="0" builtinId="0"/>
    <cellStyle name="Normal 10" xfId="5" xr:uid="{00000000-0005-0000-0000-000002000000}"/>
    <cellStyle name="Normal 2" xfId="1" xr:uid="{00000000-0005-0000-0000-000003000000}"/>
    <cellStyle name="Normal 2 2" xfId="10" xr:uid="{00000000-0005-0000-0000-000004000000}"/>
    <cellStyle name="Normal 3" xfId="9" xr:uid="{00000000-0005-0000-0000-000005000000}"/>
    <cellStyle name="Normal 4" xfId="3" xr:uid="{00000000-0005-0000-0000-000006000000}"/>
    <cellStyle name="Normal 42" xfId="6" xr:uid="{00000000-0005-0000-0000-000007000000}"/>
    <cellStyle name="Normal 43" xfId="7" xr:uid="{00000000-0005-0000-0000-000008000000}"/>
    <cellStyle name="Normal 45" xfId="8" xr:uid="{00000000-0005-0000-0000-000009000000}"/>
    <cellStyle name="Normal 5" xfId="2" xr:uid="{00000000-0005-0000-0000-00000A000000}"/>
    <cellStyle name="Normal 5 2" xfId="14" xr:uid="{3CCB22D1-9967-4213-A427-6AF943E8252D}"/>
    <cellStyle name="Normal 6" xfId="11" xr:uid="{9FCAE55C-449B-48B0-8C39-340B839FF272}"/>
    <cellStyle name="Normal 7" xfId="15" xr:uid="{325D2669-FD15-4B85-9EF4-251DFBC35B0A}"/>
    <cellStyle name="Normal 8" xfId="12" xr:uid="{BABEEC1B-8E79-4FB0-9058-2A1B9BFD9AB9}"/>
    <cellStyle name="Porcentaje 2" xfId="16" xr:uid="{2FACD32F-BE92-428A-A7B7-DB09366CA07E}"/>
    <cellStyle name="Porcentual 2" xfId="13" xr:uid="{B8B7FCAA-AB55-45A8-9016-07922188CE13}"/>
  </cellStyles>
  <dxfs count="0"/>
  <tableStyles count="0" defaultTableStyle="TableStyleMedium2" defaultPivotStyle="PivotStyleLight16"/>
  <colors>
    <mruColors>
      <color rgb="FF8CF0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emf"/><Relationship Id="rId1" Type="http://schemas.openxmlformats.org/officeDocument/2006/relationships/image" Target="../media/image2.jpeg"/><Relationship Id="rId6" Type="http://schemas.openxmlformats.org/officeDocument/2006/relationships/image" Target="../media/image7.jpeg"/><Relationship Id="rId5" Type="http://schemas.openxmlformats.org/officeDocument/2006/relationships/image" Target="../media/image6.jpe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47626</xdr:colOff>
      <xdr:row>26</xdr:row>
      <xdr:rowOff>49531</xdr:rowOff>
    </xdr:from>
    <xdr:to>
      <xdr:col>5</xdr:col>
      <xdr:colOff>200026</xdr:colOff>
      <xdr:row>26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 flipH="1" flipV="1">
          <a:off x="3857626" y="4583431"/>
          <a:ext cx="152400" cy="45719"/>
        </a:xfrm>
        <a:prstGeom prst="leftArrow">
          <a:avLst>
            <a:gd name="adj1" fmla="val 50000"/>
            <a:gd name="adj2" fmla="val 46875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0</xdr:row>
      <xdr:rowOff>28576</xdr:rowOff>
    </xdr:from>
    <xdr:to>
      <xdr:col>10</xdr:col>
      <xdr:colOff>19050</xdr:colOff>
      <xdr:row>61</xdr:row>
      <xdr:rowOff>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19050" y="28576"/>
          <a:ext cx="7620000" cy="11972924"/>
        </a:xfrm>
        <a:prstGeom prst="roundRect">
          <a:avLst>
            <a:gd name="adj" fmla="val 3231"/>
          </a:avLst>
        </a:prstGeom>
        <a:noFill/>
        <a:ln w="222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57871</xdr:colOff>
      <xdr:row>75</xdr:row>
      <xdr:rowOff>65314</xdr:rowOff>
    </xdr:from>
    <xdr:to>
      <xdr:col>16</xdr:col>
      <xdr:colOff>600797</xdr:colOff>
      <xdr:row>81</xdr:row>
      <xdr:rowOff>142875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8A1C1E0F-BC43-4B8A-BEE2-2798E5BFC5BD}"/>
            </a:ext>
          </a:extLst>
        </xdr:cNvPr>
        <xdr:cNvSpPr txBox="1"/>
      </xdr:nvSpPr>
      <xdr:spPr>
        <a:xfrm>
          <a:off x="9963871" y="12209689"/>
          <a:ext cx="2828926" cy="104911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s-BO" sz="1000" b="1">
              <a:latin typeface="Arial Narrow" panose="020B0606020202030204" pitchFamily="34" charset="0"/>
            </a:rPr>
            <a:t>________________________________________</a:t>
          </a:r>
        </a:p>
        <a:p>
          <a:pPr algn="ctr"/>
          <a:r>
            <a:rPr lang="es-BO" sz="1000" b="1">
              <a:latin typeface="Arial Narrow" panose="020B0606020202030204" pitchFamily="34" charset="0"/>
            </a:rPr>
            <a:t>Ing.</a:t>
          </a:r>
          <a:r>
            <a:rPr lang="es-BO" sz="1000" b="1" baseline="0">
              <a:latin typeface="Arial Narrow" panose="020B0606020202030204" pitchFamily="34" charset="0"/>
            </a:rPr>
            <a:t> Juan Chara Chuquisea</a:t>
          </a:r>
          <a:endParaRPr lang="es-BO" sz="1000" b="1">
            <a:latin typeface="Arial Narrow" panose="020B0606020202030204" pitchFamily="34" charset="0"/>
          </a:endParaRPr>
        </a:p>
        <a:p>
          <a:pPr algn="ctr"/>
          <a:r>
            <a:rPr lang="es-BO" sz="1000" b="1" baseline="0">
              <a:latin typeface="Arial Narrow" panose="020B0606020202030204" pitchFamily="34" charset="0"/>
            </a:rPr>
            <a:t>FISCAL DE OBRA</a:t>
          </a:r>
        </a:p>
        <a:p>
          <a:pPr algn="ctr"/>
          <a:r>
            <a:rPr lang="es-BO" sz="1000" b="1" baseline="0">
              <a:latin typeface="Arial Narrow" panose="020B0606020202030204" pitchFamily="34" charset="0"/>
            </a:rPr>
            <a:t>U.A.T.F.</a:t>
          </a:r>
        </a:p>
        <a:p>
          <a:pPr algn="ctr"/>
          <a:endParaRPr lang="es-BO" sz="1000" b="1" baseline="0">
            <a:latin typeface="Arial Narrow" panose="020B0606020202030204" pitchFamily="34" charset="0"/>
          </a:endParaRPr>
        </a:p>
        <a:p>
          <a:pPr algn="ctr"/>
          <a:r>
            <a:rPr lang="es-BO" sz="1000" b="1" baseline="0">
              <a:latin typeface="Arial Narrow" panose="020B0606020202030204" pitchFamily="34" charset="0"/>
            </a:rPr>
            <a:t>FECHA:              /         /         /</a:t>
          </a:r>
          <a:endParaRPr lang="es-BO" sz="10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3</xdr:col>
      <xdr:colOff>264371</xdr:colOff>
      <xdr:row>75</xdr:row>
      <xdr:rowOff>86524</xdr:rowOff>
    </xdr:from>
    <xdr:to>
      <xdr:col>13</xdr:col>
      <xdr:colOff>28575</xdr:colOff>
      <xdr:row>81</xdr:row>
      <xdr:rowOff>133350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FA7D6BA-B00C-4E1F-BCD1-BAE232882DB9}"/>
            </a:ext>
          </a:extLst>
        </xdr:cNvPr>
        <xdr:cNvSpPr txBox="1"/>
      </xdr:nvSpPr>
      <xdr:spPr>
        <a:xfrm>
          <a:off x="2550371" y="12230899"/>
          <a:ext cx="7384204" cy="101837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s-BO" sz="1000" b="1">
              <a:latin typeface="Arial Narrow" panose="020B0606020202030204" pitchFamily="34" charset="0"/>
            </a:rPr>
            <a:t>____________________________________</a:t>
          </a:r>
        </a:p>
        <a:p>
          <a:pPr algn="ctr"/>
          <a:r>
            <a:rPr lang="es-BO" sz="1000" b="1">
              <a:latin typeface="Arial Narrow" panose="020B0606020202030204" pitchFamily="34" charset="0"/>
            </a:rPr>
            <a:t>Ing. Daniely Taboada Quintana</a:t>
          </a:r>
        </a:p>
        <a:p>
          <a:pPr algn="ctr"/>
          <a:r>
            <a:rPr lang="es-BO" sz="1000" b="1" baseline="0">
              <a:latin typeface="Arial Narrow" panose="020B0606020202030204" pitchFamily="34" charset="0"/>
            </a:rPr>
            <a:t>SUPERVISOR DE OBRA</a:t>
          </a:r>
        </a:p>
        <a:p>
          <a:pPr algn="ctr"/>
          <a:r>
            <a:rPr lang="es-BO" sz="1000" b="1" baseline="0">
              <a:latin typeface="Arial Narrow" panose="020B0606020202030204" pitchFamily="34" charset="0"/>
            </a:rPr>
            <a:t>U.A.T.F.</a:t>
          </a:r>
        </a:p>
        <a:p>
          <a:pPr algn="ctr"/>
          <a:endParaRPr lang="es-BO" sz="1000" b="1" baseline="0">
            <a:latin typeface="Arial Narrow" panose="020B0606020202030204" pitchFamily="34" charset="0"/>
          </a:endParaRPr>
        </a:p>
        <a:p>
          <a:pPr algn="ctr"/>
          <a:r>
            <a:rPr lang="es-BO" sz="1000" b="1" baseline="0">
              <a:latin typeface="Arial Narrow" panose="020B0606020202030204" pitchFamily="34" charset="0"/>
            </a:rPr>
            <a:t>FECHA:              /         /         /</a:t>
          </a:r>
          <a:endParaRPr lang="es-BO" sz="10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2</xdr:col>
      <xdr:colOff>201385</xdr:colOff>
      <xdr:row>75</xdr:row>
      <xdr:rowOff>61232</xdr:rowOff>
    </xdr:from>
    <xdr:to>
      <xdr:col>2</xdr:col>
      <xdr:colOff>2295524</xdr:colOff>
      <xdr:row>81</xdr:row>
      <xdr:rowOff>133349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F5C676ED-28BD-446A-A116-C9E465BB404F}"/>
            </a:ext>
          </a:extLst>
        </xdr:cNvPr>
        <xdr:cNvSpPr txBox="1"/>
      </xdr:nvSpPr>
      <xdr:spPr>
        <a:xfrm>
          <a:off x="1725385" y="12205607"/>
          <a:ext cx="560614" cy="104366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s-BO" sz="1000" b="1">
              <a:latin typeface="Arial Narrow" panose="020B0606020202030204" pitchFamily="34" charset="0"/>
            </a:rPr>
            <a:t>_________________________________</a:t>
          </a:r>
        </a:p>
        <a:p>
          <a:pPr algn="ctr"/>
          <a:r>
            <a:rPr lang="es-BO" sz="1000" b="1">
              <a:latin typeface="Arial Narrow" panose="020B0606020202030204" pitchFamily="34" charset="0"/>
            </a:rPr>
            <a:t>Ing.</a:t>
          </a:r>
          <a:r>
            <a:rPr lang="es-BO" sz="1000" b="1" baseline="0">
              <a:latin typeface="Arial Narrow" panose="020B0606020202030204" pitchFamily="34" charset="0"/>
            </a:rPr>
            <a:t> Ronald Bustillos Quiroga</a:t>
          </a:r>
          <a:endParaRPr lang="es-BO" sz="1000" b="1">
            <a:latin typeface="Arial Narrow" panose="020B0606020202030204" pitchFamily="34" charset="0"/>
          </a:endParaRPr>
        </a:p>
        <a:p>
          <a:pPr algn="ctr"/>
          <a:r>
            <a:rPr lang="es-BO" sz="1000" b="1">
              <a:latin typeface="Arial Narrow" panose="020B0606020202030204" pitchFamily="34" charset="0"/>
            </a:rPr>
            <a:t>DIRECTOR DE OBRA</a:t>
          </a:r>
          <a:endParaRPr lang="es-BO" sz="1000" b="1" baseline="0">
            <a:latin typeface="Arial Narrow" panose="020B0606020202030204" pitchFamily="34" charset="0"/>
          </a:endParaRPr>
        </a:p>
        <a:p>
          <a:pPr algn="ctr"/>
          <a:r>
            <a:rPr lang="es-BO" sz="1000" b="1" baseline="0">
              <a:latin typeface="Arial Narrow" panose="020B0606020202030204" pitchFamily="34" charset="0"/>
            </a:rPr>
            <a:t>CONSTRUCTORA KODESH</a:t>
          </a:r>
        </a:p>
        <a:p>
          <a:pPr algn="ctr"/>
          <a:endParaRPr lang="es-BO" sz="1000" b="1" baseline="0">
            <a:latin typeface="Arial Narrow" panose="020B0606020202030204" pitchFamily="34" charset="0"/>
          </a:endParaRPr>
        </a:p>
        <a:p>
          <a:pPr algn="ctr"/>
          <a:r>
            <a:rPr lang="es-BO" sz="1000" b="1" baseline="0">
              <a:latin typeface="Arial Narrow" panose="020B0606020202030204" pitchFamily="34" charset="0"/>
            </a:rPr>
            <a:t>FECHA:              /         /         /</a:t>
          </a:r>
          <a:endParaRPr lang="es-BO" sz="10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17</xdr:col>
      <xdr:colOff>512978</xdr:colOff>
      <xdr:row>75</xdr:row>
      <xdr:rowOff>106135</xdr:rowOff>
    </xdr:from>
    <xdr:to>
      <xdr:col>22</xdr:col>
      <xdr:colOff>155591</xdr:colOff>
      <xdr:row>81</xdr:row>
      <xdr:rowOff>142875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C418544-DA60-48C1-BAAE-265BCD818CB7}"/>
            </a:ext>
          </a:extLst>
        </xdr:cNvPr>
        <xdr:cNvSpPr txBox="1"/>
      </xdr:nvSpPr>
      <xdr:spPr>
        <a:xfrm>
          <a:off x="13466978" y="12250510"/>
          <a:ext cx="3452613" cy="100829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s-BO" sz="1000" b="1">
              <a:latin typeface="Arial Narrow" panose="020B0606020202030204" pitchFamily="34" charset="0"/>
            </a:rPr>
            <a:t>_____________________________________</a:t>
          </a:r>
        </a:p>
        <a:p>
          <a:pPr algn="ctr"/>
          <a:r>
            <a:rPr lang="es-BO" sz="1000" b="1">
              <a:latin typeface="Arial Narrow" panose="020B0606020202030204" pitchFamily="34" charset="0"/>
            </a:rPr>
            <a:t>Ing. Roger</a:t>
          </a:r>
          <a:r>
            <a:rPr lang="es-BO" sz="1000" b="1" baseline="0">
              <a:latin typeface="Arial Narrow" panose="020B0606020202030204" pitchFamily="34" charset="0"/>
            </a:rPr>
            <a:t> Barahona Telchi</a:t>
          </a:r>
          <a:endParaRPr lang="es-BO" sz="1000" b="1">
            <a:latin typeface="Arial Narrow" panose="020B0606020202030204" pitchFamily="34" charset="0"/>
          </a:endParaRPr>
        </a:p>
        <a:p>
          <a:pPr algn="ctr"/>
          <a:r>
            <a:rPr lang="es-BO" sz="1000" b="1" baseline="0">
              <a:latin typeface="Arial Narrow" panose="020B0606020202030204" pitchFamily="34" charset="0"/>
            </a:rPr>
            <a:t>JEFE DE INFRAESTRUCTURA</a:t>
          </a:r>
        </a:p>
        <a:p>
          <a:pPr algn="ctr"/>
          <a:r>
            <a:rPr lang="es-BO" sz="1000" b="1" baseline="0">
              <a:latin typeface="Arial Narrow" panose="020B0606020202030204" pitchFamily="34" charset="0"/>
            </a:rPr>
            <a:t>U.A.T.F.</a:t>
          </a:r>
        </a:p>
        <a:p>
          <a:pPr algn="ctr"/>
          <a:endParaRPr lang="es-BO" sz="1000" b="1" baseline="0">
            <a:latin typeface="Arial Narrow" panose="020B0606020202030204" pitchFamily="34" charset="0"/>
          </a:endParaRPr>
        </a:p>
        <a:p>
          <a:pPr algn="ctr"/>
          <a:r>
            <a:rPr lang="es-BO" sz="1000" b="1" baseline="0">
              <a:latin typeface="Arial Narrow" panose="020B0606020202030204" pitchFamily="34" charset="0"/>
            </a:rPr>
            <a:t>FECHA:              /         /         /</a:t>
          </a:r>
          <a:endParaRPr lang="es-BO" sz="1000" b="1">
            <a:latin typeface="Arial Narrow" panose="020B0606020202030204" pitchFamily="34" charset="0"/>
          </a:endParaRPr>
        </a:p>
      </xdr:txBody>
    </xdr:sp>
    <xdr:clientData/>
  </xdr:twoCellAnchor>
  <xdr:oneCellAnchor>
    <xdr:from>
      <xdr:col>2</xdr:col>
      <xdr:colOff>104775</xdr:colOff>
      <xdr:row>1</xdr:row>
      <xdr:rowOff>28575</xdr:rowOff>
    </xdr:from>
    <xdr:ext cx="1152525" cy="1362075"/>
    <xdr:pic>
      <xdr:nvPicPr>
        <xdr:cNvPr id="6" name="Imagen 5" descr="UATF">
          <a:extLst>
            <a:ext uri="{FF2B5EF4-FFF2-40B4-BE49-F238E27FC236}">
              <a16:creationId xmlns:a16="http://schemas.microsoft.com/office/drawing/2014/main" id="{3E4C98F7-65B5-4148-BCC8-21866868C7F6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28775" y="190500"/>
          <a:ext cx="1152525" cy="1362075"/>
        </a:xfrm>
        <a:prstGeom prst="rect">
          <a:avLst/>
        </a:prstGeom>
        <a:noFill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322385</xdr:colOff>
      <xdr:row>0</xdr:row>
      <xdr:rowOff>59543</xdr:rowOff>
    </xdr:from>
    <xdr:ext cx="586154" cy="668465"/>
    <xdr:pic>
      <xdr:nvPicPr>
        <xdr:cNvPr id="2" name="Imagen 1">
          <a:extLst>
            <a:ext uri="{FF2B5EF4-FFF2-40B4-BE49-F238E27FC236}">
              <a16:creationId xmlns:a16="http://schemas.microsoft.com/office/drawing/2014/main" id="{BAE7E2F2-6C9A-48D3-947C-03B3056CE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810" y="59543"/>
          <a:ext cx="586154" cy="668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490904</xdr:colOff>
      <xdr:row>0</xdr:row>
      <xdr:rowOff>139212</xdr:rowOff>
    </xdr:from>
    <xdr:ext cx="1128346" cy="496334"/>
    <xdr:pic>
      <xdr:nvPicPr>
        <xdr:cNvPr id="3" name="Imagen 2">
          <a:extLst>
            <a:ext uri="{FF2B5EF4-FFF2-40B4-BE49-F238E27FC236}">
              <a16:creationId xmlns:a16="http://schemas.microsoft.com/office/drawing/2014/main" id="{6BE399E4-2BC9-41C9-94A6-9DBF34CDC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1979" y="139212"/>
          <a:ext cx="1128346" cy="496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322385</xdr:colOff>
      <xdr:row>117</xdr:row>
      <xdr:rowOff>59543</xdr:rowOff>
    </xdr:from>
    <xdr:ext cx="586154" cy="668465"/>
    <xdr:pic>
      <xdr:nvPicPr>
        <xdr:cNvPr id="4" name="Imagen 3">
          <a:extLst>
            <a:ext uri="{FF2B5EF4-FFF2-40B4-BE49-F238E27FC236}">
              <a16:creationId xmlns:a16="http://schemas.microsoft.com/office/drawing/2014/main" id="{CFC26E11-D2CC-43D8-B6D5-71C47B9A4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810" y="18795218"/>
          <a:ext cx="586154" cy="668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490904</xdr:colOff>
      <xdr:row>117</xdr:row>
      <xdr:rowOff>139212</xdr:rowOff>
    </xdr:from>
    <xdr:ext cx="1128346" cy="496334"/>
    <xdr:pic>
      <xdr:nvPicPr>
        <xdr:cNvPr id="5" name="Imagen 4">
          <a:extLst>
            <a:ext uri="{FF2B5EF4-FFF2-40B4-BE49-F238E27FC236}">
              <a16:creationId xmlns:a16="http://schemas.microsoft.com/office/drawing/2014/main" id="{E5754948-D2A1-4D6A-B394-687D5B30E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1979" y="18874887"/>
          <a:ext cx="1128346" cy="496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322385</xdr:colOff>
      <xdr:row>175</xdr:row>
      <xdr:rowOff>59543</xdr:rowOff>
    </xdr:from>
    <xdr:ext cx="586154" cy="668465"/>
    <xdr:pic>
      <xdr:nvPicPr>
        <xdr:cNvPr id="6" name="Imagen 5">
          <a:extLst>
            <a:ext uri="{FF2B5EF4-FFF2-40B4-BE49-F238E27FC236}">
              <a16:creationId xmlns:a16="http://schemas.microsoft.com/office/drawing/2014/main" id="{1AAACA3F-25E2-4155-BFFD-7B2148278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810" y="28177343"/>
          <a:ext cx="586154" cy="668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490904</xdr:colOff>
      <xdr:row>175</xdr:row>
      <xdr:rowOff>139212</xdr:rowOff>
    </xdr:from>
    <xdr:ext cx="1128346" cy="496334"/>
    <xdr:pic>
      <xdr:nvPicPr>
        <xdr:cNvPr id="7" name="Imagen 6">
          <a:extLst>
            <a:ext uri="{FF2B5EF4-FFF2-40B4-BE49-F238E27FC236}">
              <a16:creationId xmlns:a16="http://schemas.microsoft.com/office/drawing/2014/main" id="{23515D8D-4AD6-4B4F-9318-581DB5A32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1979" y="28257012"/>
          <a:ext cx="1128346" cy="496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322385</xdr:colOff>
      <xdr:row>234</xdr:row>
      <xdr:rowOff>59543</xdr:rowOff>
    </xdr:from>
    <xdr:ext cx="586154" cy="668465"/>
    <xdr:pic>
      <xdr:nvPicPr>
        <xdr:cNvPr id="8" name="Imagen 7">
          <a:extLst>
            <a:ext uri="{FF2B5EF4-FFF2-40B4-BE49-F238E27FC236}">
              <a16:creationId xmlns:a16="http://schemas.microsoft.com/office/drawing/2014/main" id="{785F982F-5FBB-4FB5-A23C-F52258E17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810" y="37664243"/>
          <a:ext cx="586154" cy="668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490904</xdr:colOff>
      <xdr:row>234</xdr:row>
      <xdr:rowOff>139212</xdr:rowOff>
    </xdr:from>
    <xdr:ext cx="1128346" cy="496334"/>
    <xdr:pic>
      <xdr:nvPicPr>
        <xdr:cNvPr id="9" name="Imagen 8">
          <a:extLst>
            <a:ext uri="{FF2B5EF4-FFF2-40B4-BE49-F238E27FC236}">
              <a16:creationId xmlns:a16="http://schemas.microsoft.com/office/drawing/2014/main" id="{B61B9886-1F83-46AC-B7E7-A853C4276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1979" y="37743912"/>
          <a:ext cx="1128346" cy="496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322385</xdr:colOff>
      <xdr:row>293</xdr:row>
      <xdr:rowOff>59543</xdr:rowOff>
    </xdr:from>
    <xdr:ext cx="586154" cy="668465"/>
    <xdr:pic>
      <xdr:nvPicPr>
        <xdr:cNvPr id="10" name="Imagen 9">
          <a:extLst>
            <a:ext uri="{FF2B5EF4-FFF2-40B4-BE49-F238E27FC236}">
              <a16:creationId xmlns:a16="http://schemas.microsoft.com/office/drawing/2014/main" id="{FC890A1C-8536-4A61-A4D6-5BF8C1A0C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810" y="47093993"/>
          <a:ext cx="586154" cy="668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490904</xdr:colOff>
      <xdr:row>293</xdr:row>
      <xdr:rowOff>139212</xdr:rowOff>
    </xdr:from>
    <xdr:ext cx="1128346" cy="496334"/>
    <xdr:pic>
      <xdr:nvPicPr>
        <xdr:cNvPr id="11" name="Imagen 10">
          <a:extLst>
            <a:ext uri="{FF2B5EF4-FFF2-40B4-BE49-F238E27FC236}">
              <a16:creationId xmlns:a16="http://schemas.microsoft.com/office/drawing/2014/main" id="{F1012904-56BC-410F-B345-ABF3C6E09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1979" y="47173662"/>
          <a:ext cx="1128346" cy="496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322385</xdr:colOff>
      <xdr:row>743</xdr:row>
      <xdr:rowOff>59543</xdr:rowOff>
    </xdr:from>
    <xdr:ext cx="586154" cy="668465"/>
    <xdr:pic>
      <xdr:nvPicPr>
        <xdr:cNvPr id="12" name="Imagen 11">
          <a:extLst>
            <a:ext uri="{FF2B5EF4-FFF2-40B4-BE49-F238E27FC236}">
              <a16:creationId xmlns:a16="http://schemas.microsoft.com/office/drawing/2014/main" id="{6E0C1BB2-5997-4DEA-9DB2-209EAE5B4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810" y="112416443"/>
          <a:ext cx="586154" cy="668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490904</xdr:colOff>
      <xdr:row>743</xdr:row>
      <xdr:rowOff>139212</xdr:rowOff>
    </xdr:from>
    <xdr:ext cx="1128346" cy="496334"/>
    <xdr:pic>
      <xdr:nvPicPr>
        <xdr:cNvPr id="13" name="Imagen 12">
          <a:extLst>
            <a:ext uri="{FF2B5EF4-FFF2-40B4-BE49-F238E27FC236}">
              <a16:creationId xmlns:a16="http://schemas.microsoft.com/office/drawing/2014/main" id="{111CBDCA-E936-4DB5-A18F-48ECD72C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1979" y="112496112"/>
          <a:ext cx="1128346" cy="496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322385</xdr:colOff>
      <xdr:row>860</xdr:row>
      <xdr:rowOff>59543</xdr:rowOff>
    </xdr:from>
    <xdr:ext cx="586154" cy="668465"/>
    <xdr:pic>
      <xdr:nvPicPr>
        <xdr:cNvPr id="14" name="Imagen 13">
          <a:extLst>
            <a:ext uri="{FF2B5EF4-FFF2-40B4-BE49-F238E27FC236}">
              <a16:creationId xmlns:a16="http://schemas.microsoft.com/office/drawing/2014/main" id="{C1E931CE-861A-400A-96CD-5990B205B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810" y="131218793"/>
          <a:ext cx="586154" cy="668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490904</xdr:colOff>
      <xdr:row>860</xdr:row>
      <xdr:rowOff>139212</xdr:rowOff>
    </xdr:from>
    <xdr:ext cx="1128346" cy="496334"/>
    <xdr:pic>
      <xdr:nvPicPr>
        <xdr:cNvPr id="15" name="Imagen 14">
          <a:extLst>
            <a:ext uri="{FF2B5EF4-FFF2-40B4-BE49-F238E27FC236}">
              <a16:creationId xmlns:a16="http://schemas.microsoft.com/office/drawing/2014/main" id="{F5529137-9FA5-4A8B-84F6-749C03E71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1979" y="131298462"/>
          <a:ext cx="1128346" cy="496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329712</xdr:colOff>
      <xdr:row>1175</xdr:row>
      <xdr:rowOff>37562</xdr:rowOff>
    </xdr:from>
    <xdr:ext cx="586154" cy="668465"/>
    <xdr:pic>
      <xdr:nvPicPr>
        <xdr:cNvPr id="16" name="Imagen 15">
          <a:extLst>
            <a:ext uri="{FF2B5EF4-FFF2-40B4-BE49-F238E27FC236}">
              <a16:creationId xmlns:a16="http://schemas.microsoft.com/office/drawing/2014/main" id="{BFE26114-4D60-4E48-B180-250B0E710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137" y="187822937"/>
          <a:ext cx="586154" cy="668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490904</xdr:colOff>
      <xdr:row>1175</xdr:row>
      <xdr:rowOff>139212</xdr:rowOff>
    </xdr:from>
    <xdr:ext cx="1128346" cy="496334"/>
    <xdr:pic>
      <xdr:nvPicPr>
        <xdr:cNvPr id="17" name="Imagen 16">
          <a:extLst>
            <a:ext uri="{FF2B5EF4-FFF2-40B4-BE49-F238E27FC236}">
              <a16:creationId xmlns:a16="http://schemas.microsoft.com/office/drawing/2014/main" id="{0CA7C048-2668-4146-BB3A-C81DA8385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1979" y="187915062"/>
          <a:ext cx="1128346" cy="496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329712</xdr:colOff>
      <xdr:row>1235</xdr:row>
      <xdr:rowOff>37562</xdr:rowOff>
    </xdr:from>
    <xdr:ext cx="586154" cy="668465"/>
    <xdr:pic>
      <xdr:nvPicPr>
        <xdr:cNvPr id="18" name="Imagen 17">
          <a:extLst>
            <a:ext uri="{FF2B5EF4-FFF2-40B4-BE49-F238E27FC236}">
              <a16:creationId xmlns:a16="http://schemas.microsoft.com/office/drawing/2014/main" id="{6FE346F3-B82D-4EEF-8CF2-1F6E333AA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137" y="197300312"/>
          <a:ext cx="586154" cy="668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490904</xdr:colOff>
      <xdr:row>1235</xdr:row>
      <xdr:rowOff>139212</xdr:rowOff>
    </xdr:from>
    <xdr:ext cx="1128346" cy="496334"/>
    <xdr:pic>
      <xdr:nvPicPr>
        <xdr:cNvPr id="19" name="Imagen 18">
          <a:extLst>
            <a:ext uri="{FF2B5EF4-FFF2-40B4-BE49-F238E27FC236}">
              <a16:creationId xmlns:a16="http://schemas.microsoft.com/office/drawing/2014/main" id="{C889A552-A1AF-4EB9-99D4-E6125492F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1979" y="197401962"/>
          <a:ext cx="1128346" cy="496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322385</xdr:colOff>
      <xdr:row>58</xdr:row>
      <xdr:rowOff>59543</xdr:rowOff>
    </xdr:from>
    <xdr:ext cx="586154" cy="668465"/>
    <xdr:pic>
      <xdr:nvPicPr>
        <xdr:cNvPr id="20" name="Imagen 19">
          <a:extLst>
            <a:ext uri="{FF2B5EF4-FFF2-40B4-BE49-F238E27FC236}">
              <a16:creationId xmlns:a16="http://schemas.microsoft.com/office/drawing/2014/main" id="{64D5C5CE-8C92-4960-9C0C-36F4FE387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810" y="9479768"/>
          <a:ext cx="586154" cy="668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490904</xdr:colOff>
      <xdr:row>58</xdr:row>
      <xdr:rowOff>139212</xdr:rowOff>
    </xdr:from>
    <xdr:ext cx="1128346" cy="496334"/>
    <xdr:pic>
      <xdr:nvPicPr>
        <xdr:cNvPr id="21" name="Imagen 20">
          <a:extLst>
            <a:ext uri="{FF2B5EF4-FFF2-40B4-BE49-F238E27FC236}">
              <a16:creationId xmlns:a16="http://schemas.microsoft.com/office/drawing/2014/main" id="{802B981A-C2AE-430A-831C-8DFE7D5F0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1979" y="9559437"/>
          <a:ext cx="1128346" cy="496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322385</xdr:colOff>
      <xdr:row>352</xdr:row>
      <xdr:rowOff>59543</xdr:rowOff>
    </xdr:from>
    <xdr:ext cx="586154" cy="621861"/>
    <xdr:pic>
      <xdr:nvPicPr>
        <xdr:cNvPr id="22" name="Imagen 21">
          <a:extLst>
            <a:ext uri="{FF2B5EF4-FFF2-40B4-BE49-F238E27FC236}">
              <a16:creationId xmlns:a16="http://schemas.microsoft.com/office/drawing/2014/main" id="{A78C0B3B-0697-42DA-B979-E970C98E0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077" y="56381601"/>
          <a:ext cx="586154" cy="6218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490904</xdr:colOff>
      <xdr:row>352</xdr:row>
      <xdr:rowOff>139212</xdr:rowOff>
    </xdr:from>
    <xdr:ext cx="1128346" cy="496334"/>
    <xdr:pic>
      <xdr:nvPicPr>
        <xdr:cNvPr id="23" name="Imagen 22">
          <a:extLst>
            <a:ext uri="{FF2B5EF4-FFF2-40B4-BE49-F238E27FC236}">
              <a16:creationId xmlns:a16="http://schemas.microsoft.com/office/drawing/2014/main" id="{E52EC00E-B835-45A2-9528-D85E36FF8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1979" y="56660562"/>
          <a:ext cx="1128346" cy="496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483578</xdr:colOff>
      <xdr:row>419</xdr:row>
      <xdr:rowOff>52216</xdr:rowOff>
    </xdr:from>
    <xdr:ext cx="538864" cy="614533"/>
    <xdr:pic>
      <xdr:nvPicPr>
        <xdr:cNvPr id="24" name="Imagen 23">
          <a:extLst>
            <a:ext uri="{FF2B5EF4-FFF2-40B4-BE49-F238E27FC236}">
              <a16:creationId xmlns:a16="http://schemas.microsoft.com/office/drawing/2014/main" id="{7D5A0C6A-FDFF-4D1B-A227-C418DA4A1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270" y="65576889"/>
          <a:ext cx="538864" cy="6145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490904</xdr:colOff>
      <xdr:row>419</xdr:row>
      <xdr:rowOff>139212</xdr:rowOff>
    </xdr:from>
    <xdr:ext cx="1128346" cy="496334"/>
    <xdr:pic>
      <xdr:nvPicPr>
        <xdr:cNvPr id="25" name="Imagen 24">
          <a:extLst>
            <a:ext uri="{FF2B5EF4-FFF2-40B4-BE49-F238E27FC236}">
              <a16:creationId xmlns:a16="http://schemas.microsoft.com/office/drawing/2014/main" id="{2CF7706C-4D1F-4FA8-A13C-7CCCBA46F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1979" y="65795037"/>
          <a:ext cx="1128346" cy="496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483578</xdr:colOff>
      <xdr:row>506</xdr:row>
      <xdr:rowOff>52217</xdr:rowOff>
    </xdr:from>
    <xdr:ext cx="538864" cy="614534"/>
    <xdr:pic>
      <xdr:nvPicPr>
        <xdr:cNvPr id="26" name="Imagen 25">
          <a:extLst>
            <a:ext uri="{FF2B5EF4-FFF2-40B4-BE49-F238E27FC236}">
              <a16:creationId xmlns:a16="http://schemas.microsoft.com/office/drawing/2014/main" id="{DCA395C7-66D7-4423-8564-083DEE6F7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6003" y="74728217"/>
          <a:ext cx="538864" cy="6145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490904</xdr:colOff>
      <xdr:row>506</xdr:row>
      <xdr:rowOff>139212</xdr:rowOff>
    </xdr:from>
    <xdr:ext cx="1128346" cy="496334"/>
    <xdr:pic>
      <xdr:nvPicPr>
        <xdr:cNvPr id="27" name="Imagen 26">
          <a:extLst>
            <a:ext uri="{FF2B5EF4-FFF2-40B4-BE49-F238E27FC236}">
              <a16:creationId xmlns:a16="http://schemas.microsoft.com/office/drawing/2014/main" id="{3F18C22C-9615-4A85-94B5-C493D6030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1979" y="74815212"/>
          <a:ext cx="1128346" cy="496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322385</xdr:colOff>
      <xdr:row>566</xdr:row>
      <xdr:rowOff>59543</xdr:rowOff>
    </xdr:from>
    <xdr:ext cx="586154" cy="668465"/>
    <xdr:pic>
      <xdr:nvPicPr>
        <xdr:cNvPr id="28" name="Imagen 27">
          <a:extLst>
            <a:ext uri="{FF2B5EF4-FFF2-40B4-BE49-F238E27FC236}">
              <a16:creationId xmlns:a16="http://schemas.microsoft.com/office/drawing/2014/main" id="{1390416C-A209-43CA-AB13-A630CCBA0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810" y="84098618"/>
          <a:ext cx="586154" cy="668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490904</xdr:colOff>
      <xdr:row>566</xdr:row>
      <xdr:rowOff>139212</xdr:rowOff>
    </xdr:from>
    <xdr:ext cx="1128346" cy="496334"/>
    <xdr:pic>
      <xdr:nvPicPr>
        <xdr:cNvPr id="29" name="Imagen 28">
          <a:extLst>
            <a:ext uri="{FF2B5EF4-FFF2-40B4-BE49-F238E27FC236}">
              <a16:creationId xmlns:a16="http://schemas.microsoft.com/office/drawing/2014/main" id="{129F3C09-0B0A-4117-934B-5C5BAEAB1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1979" y="84178287"/>
          <a:ext cx="1128346" cy="496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322385</xdr:colOff>
      <xdr:row>625</xdr:row>
      <xdr:rowOff>59543</xdr:rowOff>
    </xdr:from>
    <xdr:ext cx="586154" cy="668465"/>
    <xdr:pic>
      <xdr:nvPicPr>
        <xdr:cNvPr id="30" name="Imagen 29">
          <a:extLst>
            <a:ext uri="{FF2B5EF4-FFF2-40B4-BE49-F238E27FC236}">
              <a16:creationId xmlns:a16="http://schemas.microsoft.com/office/drawing/2014/main" id="{0E69D3AB-1CCB-455D-97F8-DC0C85ABF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810" y="93528368"/>
          <a:ext cx="586154" cy="668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490904</xdr:colOff>
      <xdr:row>625</xdr:row>
      <xdr:rowOff>139212</xdr:rowOff>
    </xdr:from>
    <xdr:ext cx="1128346" cy="496334"/>
    <xdr:pic>
      <xdr:nvPicPr>
        <xdr:cNvPr id="31" name="Imagen 30">
          <a:extLst>
            <a:ext uri="{FF2B5EF4-FFF2-40B4-BE49-F238E27FC236}">
              <a16:creationId xmlns:a16="http://schemas.microsoft.com/office/drawing/2014/main" id="{6A277CD7-5BA5-4579-8B6C-F43BF027B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1979" y="93608037"/>
          <a:ext cx="1128346" cy="496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322385</xdr:colOff>
      <xdr:row>684</xdr:row>
      <xdr:rowOff>59543</xdr:rowOff>
    </xdr:from>
    <xdr:ext cx="586154" cy="668465"/>
    <xdr:pic>
      <xdr:nvPicPr>
        <xdr:cNvPr id="32" name="Imagen 31">
          <a:extLst>
            <a:ext uri="{FF2B5EF4-FFF2-40B4-BE49-F238E27FC236}">
              <a16:creationId xmlns:a16="http://schemas.microsoft.com/office/drawing/2014/main" id="{63E6D2D5-B93D-4073-8A56-44AED2FE9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810" y="102986693"/>
          <a:ext cx="586154" cy="668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490904</xdr:colOff>
      <xdr:row>684</xdr:row>
      <xdr:rowOff>139212</xdr:rowOff>
    </xdr:from>
    <xdr:ext cx="1128346" cy="496334"/>
    <xdr:pic>
      <xdr:nvPicPr>
        <xdr:cNvPr id="33" name="Imagen 32">
          <a:extLst>
            <a:ext uri="{FF2B5EF4-FFF2-40B4-BE49-F238E27FC236}">
              <a16:creationId xmlns:a16="http://schemas.microsoft.com/office/drawing/2014/main" id="{0EB38AD1-47CC-420C-A5A6-2F90883D2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1979" y="103066362"/>
          <a:ext cx="1128346" cy="496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322385</xdr:colOff>
      <xdr:row>801</xdr:row>
      <xdr:rowOff>59543</xdr:rowOff>
    </xdr:from>
    <xdr:ext cx="586154" cy="668465"/>
    <xdr:pic>
      <xdr:nvPicPr>
        <xdr:cNvPr id="34" name="Imagen 33">
          <a:extLst>
            <a:ext uri="{FF2B5EF4-FFF2-40B4-BE49-F238E27FC236}">
              <a16:creationId xmlns:a16="http://schemas.microsoft.com/office/drawing/2014/main" id="{2C9A707F-F427-4931-BD6D-67CD397AE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810" y="121798568"/>
          <a:ext cx="586154" cy="668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490904</xdr:colOff>
      <xdr:row>801</xdr:row>
      <xdr:rowOff>139212</xdr:rowOff>
    </xdr:from>
    <xdr:ext cx="1128346" cy="496334"/>
    <xdr:pic>
      <xdr:nvPicPr>
        <xdr:cNvPr id="35" name="Imagen 34">
          <a:extLst>
            <a:ext uri="{FF2B5EF4-FFF2-40B4-BE49-F238E27FC236}">
              <a16:creationId xmlns:a16="http://schemas.microsoft.com/office/drawing/2014/main" id="{1A9F25A5-6DFE-421F-8DE9-8E8BC88CA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1979" y="121878237"/>
          <a:ext cx="1128346" cy="496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322385</xdr:colOff>
      <xdr:row>919</xdr:row>
      <xdr:rowOff>59543</xdr:rowOff>
    </xdr:from>
    <xdr:ext cx="586154" cy="668465"/>
    <xdr:pic>
      <xdr:nvPicPr>
        <xdr:cNvPr id="36" name="Imagen 35">
          <a:extLst>
            <a:ext uri="{FF2B5EF4-FFF2-40B4-BE49-F238E27FC236}">
              <a16:creationId xmlns:a16="http://schemas.microsoft.com/office/drawing/2014/main" id="{910F4F83-F346-4613-9F74-0B700A13D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810" y="140610443"/>
          <a:ext cx="586154" cy="668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490904</xdr:colOff>
      <xdr:row>919</xdr:row>
      <xdr:rowOff>139212</xdr:rowOff>
    </xdr:from>
    <xdr:ext cx="1128346" cy="496334"/>
    <xdr:pic>
      <xdr:nvPicPr>
        <xdr:cNvPr id="37" name="Imagen 36">
          <a:extLst>
            <a:ext uri="{FF2B5EF4-FFF2-40B4-BE49-F238E27FC236}">
              <a16:creationId xmlns:a16="http://schemas.microsoft.com/office/drawing/2014/main" id="{BC0F4FFF-031D-4313-AEA9-AC6650FAF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1979" y="140690112"/>
          <a:ext cx="1128346" cy="496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424962</xdr:colOff>
      <xdr:row>978</xdr:row>
      <xdr:rowOff>59544</xdr:rowOff>
    </xdr:from>
    <xdr:ext cx="558137" cy="636514"/>
    <xdr:pic>
      <xdr:nvPicPr>
        <xdr:cNvPr id="38" name="Imagen 37">
          <a:extLst>
            <a:ext uri="{FF2B5EF4-FFF2-40B4-BE49-F238E27FC236}">
              <a16:creationId xmlns:a16="http://schemas.microsoft.com/office/drawing/2014/main" id="{F98677D2-D7A3-48DF-8B96-C75996F9F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6654" y="149924429"/>
          <a:ext cx="558137" cy="6365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490904</xdr:colOff>
      <xdr:row>978</xdr:row>
      <xdr:rowOff>139212</xdr:rowOff>
    </xdr:from>
    <xdr:ext cx="1128346" cy="496334"/>
    <xdr:pic>
      <xdr:nvPicPr>
        <xdr:cNvPr id="39" name="Imagen 38">
          <a:extLst>
            <a:ext uri="{FF2B5EF4-FFF2-40B4-BE49-F238E27FC236}">
              <a16:creationId xmlns:a16="http://schemas.microsoft.com/office/drawing/2014/main" id="{1DB3CD48-0F8C-4FC2-A20C-EF2C379E3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1979" y="150129387"/>
          <a:ext cx="1128346" cy="496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322385</xdr:colOff>
      <xdr:row>1037</xdr:row>
      <xdr:rowOff>59543</xdr:rowOff>
    </xdr:from>
    <xdr:ext cx="586154" cy="668465"/>
    <xdr:pic>
      <xdr:nvPicPr>
        <xdr:cNvPr id="40" name="Imagen 39">
          <a:extLst>
            <a:ext uri="{FF2B5EF4-FFF2-40B4-BE49-F238E27FC236}">
              <a16:creationId xmlns:a16="http://schemas.microsoft.com/office/drawing/2014/main" id="{D9DA0130-A69F-49A5-A9A7-7FEACDF02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810" y="159488993"/>
          <a:ext cx="586154" cy="668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490904</xdr:colOff>
      <xdr:row>1037</xdr:row>
      <xdr:rowOff>139212</xdr:rowOff>
    </xdr:from>
    <xdr:ext cx="1128346" cy="496334"/>
    <xdr:pic>
      <xdr:nvPicPr>
        <xdr:cNvPr id="41" name="Imagen 40">
          <a:extLst>
            <a:ext uri="{FF2B5EF4-FFF2-40B4-BE49-F238E27FC236}">
              <a16:creationId xmlns:a16="http://schemas.microsoft.com/office/drawing/2014/main" id="{90F46032-3CEF-445F-B30F-47220E7C5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1979" y="159568662"/>
          <a:ext cx="1128346" cy="496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498231</xdr:colOff>
      <xdr:row>1096</xdr:row>
      <xdr:rowOff>44890</xdr:rowOff>
    </xdr:from>
    <xdr:ext cx="551712" cy="629187"/>
    <xdr:pic>
      <xdr:nvPicPr>
        <xdr:cNvPr id="42" name="Imagen 41">
          <a:extLst>
            <a:ext uri="{FF2B5EF4-FFF2-40B4-BE49-F238E27FC236}">
              <a16:creationId xmlns:a16="http://schemas.microsoft.com/office/drawing/2014/main" id="{DC59BAA5-F6C8-46A9-840D-F4F870D3F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9923" y="168300352"/>
          <a:ext cx="551712" cy="6291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490904</xdr:colOff>
      <xdr:row>1096</xdr:row>
      <xdr:rowOff>139212</xdr:rowOff>
    </xdr:from>
    <xdr:ext cx="1128346" cy="496334"/>
    <xdr:pic>
      <xdr:nvPicPr>
        <xdr:cNvPr id="43" name="Imagen 42">
          <a:extLst>
            <a:ext uri="{FF2B5EF4-FFF2-40B4-BE49-F238E27FC236}">
              <a16:creationId xmlns:a16="http://schemas.microsoft.com/office/drawing/2014/main" id="{8B0314FF-8D00-451B-A307-E6268E996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1979" y="168988887"/>
          <a:ext cx="1128346" cy="496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322385</xdr:colOff>
      <xdr:row>1120</xdr:row>
      <xdr:rowOff>59543</xdr:rowOff>
    </xdr:from>
    <xdr:ext cx="586154" cy="668465"/>
    <xdr:pic>
      <xdr:nvPicPr>
        <xdr:cNvPr id="44" name="Imagen 43">
          <a:extLst>
            <a:ext uri="{FF2B5EF4-FFF2-40B4-BE49-F238E27FC236}">
              <a16:creationId xmlns:a16="http://schemas.microsoft.com/office/drawing/2014/main" id="{CE107AAD-6F2C-434D-9881-7835C6407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810" y="178377068"/>
          <a:ext cx="586154" cy="668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490904</xdr:colOff>
      <xdr:row>1120</xdr:row>
      <xdr:rowOff>139212</xdr:rowOff>
    </xdr:from>
    <xdr:ext cx="1128346" cy="496334"/>
    <xdr:pic>
      <xdr:nvPicPr>
        <xdr:cNvPr id="45" name="Imagen 44">
          <a:extLst>
            <a:ext uri="{FF2B5EF4-FFF2-40B4-BE49-F238E27FC236}">
              <a16:creationId xmlns:a16="http://schemas.microsoft.com/office/drawing/2014/main" id="{EFB3696A-0B0D-41C7-BE55-088B102D3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1979" y="178456737"/>
          <a:ext cx="1128346" cy="496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"/>
  <sheetViews>
    <sheetView topLeftCell="A16" workbookViewId="0">
      <selection activeCell="K58" sqref="K58"/>
    </sheetView>
  </sheetViews>
  <sheetFormatPr baseColWidth="10" defaultRowHeight="15"/>
  <sheetData>
    <row r="1" spans="1:11" ht="18.75">
      <c r="A1" s="1"/>
      <c r="B1" s="1"/>
      <c r="C1" s="530" t="s">
        <v>29</v>
      </c>
      <c r="D1" s="531"/>
      <c r="E1" s="531"/>
      <c r="F1" s="531"/>
      <c r="G1" s="531"/>
      <c r="H1" s="531"/>
      <c r="I1" s="531"/>
      <c r="J1" s="1"/>
      <c r="K1" s="1"/>
    </row>
    <row r="2" spans="1:11" ht="15.75">
      <c r="A2" s="2"/>
      <c r="B2" s="3"/>
      <c r="C2" s="532"/>
      <c r="D2" s="533"/>
      <c r="E2" s="533"/>
      <c r="F2" s="533"/>
      <c r="G2" s="533"/>
      <c r="H2" s="533"/>
      <c r="I2" s="533"/>
      <c r="J2" s="1"/>
      <c r="K2" s="1"/>
    </row>
    <row r="3" spans="1:11">
      <c r="A3" s="4"/>
      <c r="B3" s="5"/>
      <c r="C3" s="4"/>
      <c r="D3" s="4"/>
      <c r="E3" s="4"/>
      <c r="F3" s="4"/>
      <c r="G3" s="5"/>
      <c r="H3" s="4"/>
      <c r="I3" s="6"/>
      <c r="J3" s="6"/>
      <c r="K3" s="1"/>
    </row>
    <row r="4" spans="1:11" ht="15.75" thickBo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8.75" thickBot="1">
      <c r="A5" s="1"/>
      <c r="B5" s="534" t="s">
        <v>30</v>
      </c>
      <c r="C5" s="535"/>
      <c r="D5" s="536"/>
      <c r="E5" s="537">
        <v>1</v>
      </c>
      <c r="F5" s="538"/>
      <c r="G5" s="1"/>
      <c r="H5" s="7" t="s">
        <v>0</v>
      </c>
      <c r="I5" s="8">
        <v>45096</v>
      </c>
      <c r="J5" s="1"/>
      <c r="K5" s="1"/>
    </row>
    <row r="6" spans="1:11">
      <c r="A6" s="6"/>
      <c r="B6" s="6"/>
      <c r="C6" s="6"/>
      <c r="D6" s="6"/>
      <c r="E6" s="6"/>
      <c r="F6" s="6"/>
      <c r="G6" s="6"/>
      <c r="H6" s="6"/>
      <c r="I6" s="6"/>
      <c r="J6" s="6"/>
      <c r="K6" s="1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>
      <c r="A8" s="1"/>
      <c r="B8" s="9" t="s">
        <v>11</v>
      </c>
      <c r="C8" s="539" t="e">
        <f>#REF!</f>
        <v>#REF!</v>
      </c>
      <c r="D8" s="540"/>
      <c r="E8" s="540"/>
      <c r="F8" s="540"/>
      <c r="G8" s="540"/>
      <c r="H8" s="540"/>
      <c r="I8" s="541"/>
      <c r="J8" s="1"/>
      <c r="K8" s="1"/>
    </row>
    <row r="9" spans="1:11">
      <c r="A9" s="1"/>
      <c r="B9" s="9"/>
      <c r="C9" s="10"/>
      <c r="D9" s="10"/>
      <c r="E9" s="10"/>
      <c r="F9" s="11"/>
      <c r="G9" s="9"/>
      <c r="H9" s="12"/>
      <c r="I9" s="12"/>
      <c r="J9" s="1"/>
      <c r="K9" s="1"/>
    </row>
    <row r="10" spans="1:11">
      <c r="A10" s="1"/>
      <c r="B10" s="9" t="s">
        <v>12</v>
      </c>
      <c r="C10" s="529" t="s">
        <v>31</v>
      </c>
      <c r="D10" s="529"/>
      <c r="E10" s="529"/>
      <c r="F10" s="529"/>
      <c r="G10" s="529"/>
      <c r="H10" s="529"/>
      <c r="I10" s="529"/>
      <c r="J10" s="1"/>
      <c r="K10" s="1"/>
    </row>
    <row r="11" spans="1:11">
      <c r="A11" s="1"/>
      <c r="B11" s="11"/>
      <c r="C11" s="11"/>
      <c r="D11" s="11"/>
      <c r="E11" s="11"/>
      <c r="F11" s="11"/>
      <c r="G11" s="9"/>
      <c r="H11" s="542"/>
      <c r="I11" s="543"/>
      <c r="J11" s="1"/>
      <c r="K11" s="1"/>
    </row>
    <row r="12" spans="1:11">
      <c r="A12" s="1"/>
      <c r="B12" s="9" t="s">
        <v>13</v>
      </c>
      <c r="C12" s="539" t="s">
        <v>3</v>
      </c>
      <c r="D12" s="544"/>
      <c r="E12" s="545"/>
      <c r="F12" s="11"/>
      <c r="G12" s="9"/>
      <c r="H12" s="546"/>
      <c r="I12" s="546"/>
      <c r="J12" s="1"/>
      <c r="K12" s="1"/>
    </row>
    <row r="13" spans="1:11">
      <c r="A13" s="1"/>
      <c r="B13" s="9"/>
      <c r="C13" s="13"/>
      <c r="D13" s="14"/>
      <c r="E13" s="14"/>
      <c r="F13" s="11"/>
      <c r="G13" s="9"/>
      <c r="H13" s="15"/>
      <c r="I13" s="15"/>
      <c r="J13" s="1"/>
      <c r="K13" s="1"/>
    </row>
    <row r="14" spans="1:11">
      <c r="A14" s="1"/>
      <c r="B14" s="9" t="s">
        <v>14</v>
      </c>
      <c r="C14" s="539" t="s">
        <v>15</v>
      </c>
      <c r="D14" s="540"/>
      <c r="E14" s="541"/>
      <c r="F14" s="16"/>
      <c r="G14" s="17" t="s">
        <v>1</v>
      </c>
      <c r="H14" s="18">
        <v>60</v>
      </c>
      <c r="I14" s="9" t="s">
        <v>2</v>
      </c>
      <c r="J14" s="1"/>
      <c r="K14" s="1"/>
    </row>
    <row r="15" spans="1:11">
      <c r="A15" s="1"/>
      <c r="B15" s="9"/>
      <c r="C15" s="14"/>
      <c r="D15" s="14"/>
      <c r="E15" s="14"/>
      <c r="F15" s="16"/>
      <c r="G15" s="17"/>
      <c r="H15" s="14"/>
      <c r="I15" s="14"/>
      <c r="J15" s="1"/>
      <c r="K15" s="1"/>
    </row>
    <row r="16" spans="1:11">
      <c r="A16" s="1"/>
      <c r="B16" s="9" t="s">
        <v>16</v>
      </c>
      <c r="C16" s="539" t="s">
        <v>32</v>
      </c>
      <c r="D16" s="540"/>
      <c r="E16" s="541"/>
      <c r="F16" s="16"/>
      <c r="G16" s="9" t="s">
        <v>10</v>
      </c>
      <c r="H16" s="547">
        <v>45070</v>
      </c>
      <c r="I16" s="548"/>
      <c r="J16" s="1"/>
      <c r="K16" s="1"/>
    </row>
    <row r="17" spans="1:11">
      <c r="A17" s="6"/>
      <c r="B17" s="6"/>
      <c r="C17" s="6"/>
      <c r="D17" s="6"/>
      <c r="E17" s="6"/>
      <c r="F17" s="6"/>
      <c r="G17" s="6"/>
      <c r="H17" s="6"/>
      <c r="I17" s="6"/>
      <c r="J17" s="6"/>
      <c r="K17" s="1"/>
    </row>
    <row r="18" spans="1:11" ht="15.75" thickBot="1">
      <c r="A18" s="1"/>
      <c r="B18" s="1"/>
      <c r="C18" s="19"/>
      <c r="D18" s="19"/>
      <c r="E18" s="19"/>
      <c r="F18" s="19"/>
      <c r="G18" s="19"/>
      <c r="H18" s="19"/>
      <c r="I18" s="1"/>
      <c r="J18" s="1"/>
      <c r="K18" s="1"/>
    </row>
    <row r="19" spans="1:11">
      <c r="A19" s="1"/>
      <c r="B19" s="20"/>
      <c r="C19" s="1"/>
      <c r="D19" s="1"/>
      <c r="E19" s="1"/>
      <c r="F19" s="1"/>
      <c r="G19" s="1"/>
      <c r="H19" s="21"/>
      <c r="I19" s="1"/>
      <c r="J19" s="1"/>
      <c r="K19" s="1"/>
    </row>
    <row r="20" spans="1:11" ht="15.75">
      <c r="A20" s="1"/>
      <c r="B20" s="20"/>
      <c r="C20" s="552" t="s">
        <v>17</v>
      </c>
      <c r="D20" s="543"/>
      <c r="E20" s="553" t="e">
        <f>#REF!</f>
        <v>#REF!</v>
      </c>
      <c r="F20" s="554"/>
      <c r="G20" s="555"/>
      <c r="H20" s="22"/>
      <c r="I20" s="1"/>
      <c r="J20" s="1"/>
      <c r="K20" s="1"/>
    </row>
    <row r="21" spans="1:11">
      <c r="A21" s="1"/>
      <c r="B21" s="20"/>
      <c r="C21" s="9"/>
      <c r="D21" s="9"/>
      <c r="E21" s="9"/>
      <c r="F21" s="9"/>
      <c r="G21" s="9"/>
      <c r="H21" s="23"/>
      <c r="I21" s="1"/>
      <c r="J21" s="1"/>
      <c r="K21" s="1"/>
    </row>
    <row r="22" spans="1:11">
      <c r="A22" s="1"/>
      <c r="B22" s="20"/>
      <c r="C22" s="556" t="s">
        <v>28</v>
      </c>
      <c r="D22" s="557"/>
      <c r="E22" s="558" t="e">
        <f>#REF!</f>
        <v>#REF!</v>
      </c>
      <c r="F22" s="559"/>
      <c r="G22" s="560"/>
      <c r="H22" s="23"/>
      <c r="I22" s="1"/>
      <c r="J22" s="1"/>
      <c r="K22" s="1"/>
    </row>
    <row r="23" spans="1:11">
      <c r="A23" s="1"/>
      <c r="B23" s="20"/>
      <c r="C23" s="556"/>
      <c r="D23" s="557"/>
      <c r="E23" s="561"/>
      <c r="F23" s="562"/>
      <c r="G23" s="563"/>
      <c r="H23" s="23"/>
      <c r="I23" s="1"/>
      <c r="J23" s="1"/>
      <c r="K23" s="1"/>
    </row>
    <row r="24" spans="1:11">
      <c r="A24" s="1"/>
      <c r="B24" s="20"/>
      <c r="C24" s="9"/>
      <c r="D24" s="9"/>
      <c r="E24" s="9"/>
      <c r="F24" s="9"/>
      <c r="G24" s="9"/>
      <c r="H24" s="23"/>
      <c r="I24" s="1"/>
      <c r="J24" s="1"/>
      <c r="K24" s="1"/>
    </row>
    <row r="25" spans="1:11" ht="15.75">
      <c r="A25" s="1"/>
      <c r="B25" s="20"/>
      <c r="C25" s="552" t="s">
        <v>18</v>
      </c>
      <c r="D25" s="543"/>
      <c r="E25" s="553" t="e">
        <f>E20+E22</f>
        <v>#REF!</v>
      </c>
      <c r="F25" s="554"/>
      <c r="G25" s="555"/>
      <c r="H25" s="22"/>
      <c r="I25" s="24"/>
      <c r="J25" s="1"/>
      <c r="K25" s="1"/>
    </row>
    <row r="26" spans="1:11" ht="15.75">
      <c r="A26" s="1"/>
      <c r="B26" s="20"/>
      <c r="C26" s="9"/>
      <c r="D26" s="1"/>
      <c r="E26" s="25"/>
      <c r="F26" s="25"/>
      <c r="G26" s="25"/>
      <c r="H26" s="22"/>
      <c r="I26" s="1"/>
      <c r="J26" s="1"/>
      <c r="K26" s="1"/>
    </row>
    <row r="27" spans="1:11">
      <c r="A27" s="1"/>
      <c r="B27" s="20"/>
      <c r="C27" s="552" t="s">
        <v>19</v>
      </c>
      <c r="D27" s="543"/>
      <c r="E27" s="543"/>
      <c r="F27" s="25"/>
      <c r="G27" s="26" t="e">
        <f>IF(E20&lt;&gt;0,(E25/E20)-1,0)</f>
        <v>#REF!</v>
      </c>
      <c r="H27" s="27"/>
      <c r="I27" s="1"/>
      <c r="J27" s="1"/>
      <c r="K27" s="1"/>
    </row>
    <row r="28" spans="1:11" ht="16.5" thickBot="1">
      <c r="A28" s="1"/>
      <c r="B28" s="20"/>
      <c r="C28" s="28"/>
      <c r="D28" s="29"/>
      <c r="E28" s="30"/>
      <c r="F28" s="30"/>
      <c r="G28" s="30"/>
      <c r="H28" s="31"/>
      <c r="I28" s="1"/>
      <c r="J28" s="1"/>
      <c r="K28" s="1"/>
    </row>
    <row r="29" spans="1:11" ht="15.75" thickBo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32" t="s">
        <v>20</v>
      </c>
      <c r="C30" s="33"/>
      <c r="D30" s="34"/>
      <c r="E30" s="34"/>
      <c r="F30" s="34"/>
      <c r="G30" s="34"/>
      <c r="H30" s="34"/>
      <c r="I30" s="21"/>
      <c r="J30" s="1"/>
      <c r="K30" s="1"/>
    </row>
    <row r="31" spans="1:11">
      <c r="A31" s="1"/>
      <c r="B31" s="35" t="s">
        <v>26</v>
      </c>
      <c r="C31" s="36"/>
      <c r="D31" s="36"/>
      <c r="E31" s="36"/>
      <c r="F31" s="36"/>
      <c r="G31" s="36"/>
      <c r="H31" s="36"/>
      <c r="I31" s="37"/>
      <c r="J31" s="1"/>
      <c r="K31" s="1"/>
    </row>
    <row r="32" spans="1:11">
      <c r="A32" s="1"/>
      <c r="B32" s="549" t="s">
        <v>27</v>
      </c>
      <c r="C32" s="550"/>
      <c r="D32" s="550"/>
      <c r="E32" s="550"/>
      <c r="F32" s="550"/>
      <c r="G32" s="550"/>
      <c r="H32" s="550"/>
      <c r="I32" s="551"/>
      <c r="J32" s="1"/>
      <c r="K32" s="1"/>
    </row>
    <row r="33" spans="1:11">
      <c r="A33" s="1"/>
      <c r="B33" s="549"/>
      <c r="C33" s="550"/>
      <c r="D33" s="550"/>
      <c r="E33" s="550"/>
      <c r="F33" s="550"/>
      <c r="G33" s="550"/>
      <c r="H33" s="550"/>
      <c r="I33" s="551"/>
      <c r="J33" s="1"/>
      <c r="K33" s="1"/>
    </row>
    <row r="34" spans="1:11">
      <c r="A34" s="1"/>
      <c r="B34" s="549"/>
      <c r="C34" s="550"/>
      <c r="D34" s="550"/>
      <c r="E34" s="550"/>
      <c r="F34" s="550"/>
      <c r="G34" s="550"/>
      <c r="H34" s="550"/>
      <c r="I34" s="551"/>
      <c r="J34" s="1"/>
      <c r="K34" s="1"/>
    </row>
    <row r="35" spans="1:11">
      <c r="A35" s="1"/>
      <c r="B35" s="549"/>
      <c r="C35" s="550"/>
      <c r="D35" s="550"/>
      <c r="E35" s="550"/>
      <c r="F35" s="550"/>
      <c r="G35" s="550"/>
      <c r="H35" s="550"/>
      <c r="I35" s="551"/>
      <c r="J35" s="1"/>
      <c r="K35" s="1"/>
    </row>
    <row r="36" spans="1:11" ht="15.75" thickBot="1">
      <c r="A36" s="1"/>
      <c r="B36" s="38"/>
      <c r="C36" s="39"/>
      <c r="D36" s="39"/>
      <c r="E36" s="39"/>
      <c r="F36" s="39"/>
      <c r="G36" s="39"/>
      <c r="H36" s="39"/>
      <c r="I36" s="40"/>
      <c r="J36" s="1"/>
      <c r="K36" s="1"/>
    </row>
    <row r="37" spans="1:11">
      <c r="A37" s="1"/>
      <c r="B37" s="36"/>
      <c r="C37" s="36"/>
      <c r="D37" s="36"/>
      <c r="E37" s="36"/>
      <c r="F37" s="36"/>
      <c r="G37" s="36"/>
      <c r="H37" s="36"/>
      <c r="I37" s="36"/>
      <c r="J37" s="1"/>
      <c r="K37" s="1"/>
    </row>
    <row r="38" spans="1:11">
      <c r="A38" s="1"/>
      <c r="B38" s="14"/>
      <c r="C38" s="1"/>
      <c r="D38" s="41" t="s">
        <v>5</v>
      </c>
      <c r="E38" s="9"/>
      <c r="F38" s="42" t="s">
        <v>21</v>
      </c>
      <c r="G38" s="42"/>
      <c r="H38" s="9"/>
      <c r="I38" s="42" t="s">
        <v>6</v>
      </c>
      <c r="J38" s="1"/>
      <c r="K38" s="1"/>
    </row>
    <row r="39" spans="1:11">
      <c r="A39" s="1"/>
      <c r="B39" s="14"/>
      <c r="C39" s="1"/>
      <c r="D39" s="41"/>
      <c r="E39" s="9"/>
      <c r="F39" s="42"/>
      <c r="G39" s="42"/>
      <c r="H39" s="9"/>
      <c r="I39" s="42"/>
      <c r="J39" s="1"/>
      <c r="K39" s="1"/>
    </row>
    <row r="40" spans="1:11">
      <c r="A40" s="1"/>
      <c r="B40" s="14"/>
      <c r="C40" s="1"/>
      <c r="D40" s="41"/>
      <c r="E40" s="9"/>
      <c r="F40" s="42"/>
      <c r="G40" s="42"/>
      <c r="H40" s="9"/>
      <c r="I40" s="42"/>
      <c r="J40" s="1"/>
      <c r="K40" s="1"/>
    </row>
    <row r="41" spans="1:11">
      <c r="A41" s="1"/>
      <c r="B41" s="14"/>
      <c r="C41" s="1"/>
      <c r="D41" s="41"/>
      <c r="E41" s="9"/>
      <c r="F41" s="42"/>
      <c r="G41" s="42"/>
      <c r="H41" s="9"/>
      <c r="I41" s="42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9"/>
      <c r="J42" s="1"/>
      <c r="K42" s="1"/>
    </row>
    <row r="43" spans="1:11">
      <c r="A43" s="1"/>
      <c r="B43" s="41" t="s">
        <v>7</v>
      </c>
      <c r="C43" s="9"/>
      <c r="D43" s="43"/>
      <c r="E43" s="1"/>
      <c r="F43" s="6"/>
      <c r="G43" s="6"/>
      <c r="H43" s="44"/>
      <c r="I43" s="45"/>
      <c r="J43" s="1"/>
      <c r="K43" s="1"/>
    </row>
    <row r="44" spans="1:11">
      <c r="A44" s="1"/>
      <c r="B44" s="36" t="s">
        <v>22</v>
      </c>
      <c r="C44" s="9"/>
      <c r="D44" s="9"/>
      <c r="E44" s="1"/>
      <c r="F44" s="1"/>
      <c r="G44" s="1"/>
      <c r="H44" s="2"/>
      <c r="I44" s="9"/>
      <c r="J44" s="1"/>
      <c r="K44" s="1"/>
    </row>
    <row r="45" spans="1:11">
      <c r="A45" s="1"/>
      <c r="B45" s="36"/>
      <c r="C45" s="9"/>
      <c r="D45" s="46"/>
      <c r="E45" s="1"/>
      <c r="F45" s="1"/>
      <c r="G45" s="9"/>
      <c r="H45" s="46"/>
      <c r="I45" s="9"/>
      <c r="J45" s="1"/>
      <c r="K45" s="1"/>
    </row>
    <row r="46" spans="1:11">
      <c r="A46" s="1"/>
      <c r="B46" s="36"/>
      <c r="C46" s="9"/>
      <c r="D46" s="46"/>
      <c r="E46" s="1"/>
      <c r="F46" s="1"/>
      <c r="G46" s="9"/>
      <c r="H46" s="46"/>
      <c r="I46" s="9"/>
      <c r="J46" s="1"/>
      <c r="K46" s="1"/>
    </row>
    <row r="47" spans="1:11">
      <c r="A47" s="1"/>
      <c r="B47" s="36"/>
      <c r="C47" s="9"/>
      <c r="D47" s="46"/>
      <c r="E47" s="1"/>
      <c r="F47" s="1"/>
      <c r="G47" s="9"/>
      <c r="H47" s="46"/>
      <c r="I47" s="9"/>
      <c r="J47" s="1"/>
      <c r="K47" s="1"/>
    </row>
    <row r="48" spans="1:11">
      <c r="A48" s="1"/>
      <c r="B48" s="36"/>
      <c r="C48" s="9"/>
      <c r="D48" s="46"/>
      <c r="E48" s="1"/>
      <c r="F48" s="1"/>
      <c r="G48" s="9"/>
      <c r="H48" s="46"/>
      <c r="I48" s="9"/>
      <c r="J48" s="1"/>
      <c r="K48" s="1"/>
    </row>
    <row r="49" spans="1:11">
      <c r="A49" s="1"/>
      <c r="B49" s="41" t="s">
        <v>8</v>
      </c>
      <c r="C49" s="9"/>
      <c r="D49" s="43"/>
      <c r="E49" s="1"/>
      <c r="F49" s="6"/>
      <c r="G49" s="6"/>
      <c r="H49" s="44"/>
      <c r="I49" s="43"/>
      <c r="J49" s="1"/>
      <c r="K49" s="1"/>
    </row>
    <row r="50" spans="1:11">
      <c r="A50" s="1"/>
      <c r="B50" s="36" t="s">
        <v>23</v>
      </c>
      <c r="C50" s="9"/>
      <c r="D50" s="9"/>
      <c r="E50" s="9"/>
      <c r="F50" s="9"/>
      <c r="G50" s="9"/>
      <c r="H50" s="9"/>
      <c r="I50" s="9"/>
      <c r="J50" s="1"/>
      <c r="K50" s="1"/>
    </row>
    <row r="51" spans="1:11">
      <c r="A51" s="1"/>
      <c r="B51" s="36"/>
      <c r="C51" s="9"/>
      <c r="D51" s="9"/>
      <c r="E51" s="9"/>
      <c r="F51" s="9"/>
      <c r="G51" s="9"/>
      <c r="H51" s="9"/>
      <c r="I51" s="9"/>
      <c r="J51" s="1"/>
      <c r="K51" s="1"/>
    </row>
    <row r="52" spans="1:11">
      <c r="A52" s="1"/>
      <c r="B52" s="36"/>
      <c r="C52" s="9"/>
      <c r="D52" s="9"/>
      <c r="E52" s="9"/>
      <c r="F52" s="9"/>
      <c r="G52" s="9"/>
      <c r="H52" s="9"/>
      <c r="I52" s="9"/>
      <c r="J52" s="1"/>
      <c r="K52" s="1"/>
    </row>
    <row r="53" spans="1:11">
      <c r="A53" s="1"/>
      <c r="B53" s="36"/>
      <c r="C53" s="9"/>
      <c r="D53" s="9"/>
      <c r="E53" s="9"/>
      <c r="F53" s="9"/>
      <c r="G53" s="9"/>
      <c r="H53" s="9"/>
      <c r="I53" s="9"/>
      <c r="J53" s="1"/>
      <c r="K53" s="1"/>
    </row>
    <row r="54" spans="1:11">
      <c r="A54" s="1"/>
      <c r="B54" s="36"/>
      <c r="C54" s="9"/>
      <c r="D54" s="9"/>
      <c r="E54" s="9"/>
      <c r="F54" s="9"/>
      <c r="G54" s="9"/>
      <c r="H54" s="9"/>
      <c r="I54" s="9"/>
      <c r="J54" s="1"/>
      <c r="K54" s="1"/>
    </row>
    <row r="55" spans="1:11">
      <c r="A55" s="1"/>
      <c r="B55" s="41" t="s">
        <v>24</v>
      </c>
      <c r="C55" s="9"/>
      <c r="D55" s="43"/>
      <c r="E55" s="1"/>
      <c r="F55" s="6"/>
      <c r="G55" s="6"/>
      <c r="H55" s="44"/>
      <c r="I55" s="43"/>
      <c r="J55" s="1"/>
      <c r="K55" s="1"/>
    </row>
    <row r="56" spans="1:11">
      <c r="A56" s="1"/>
      <c r="B56" s="36" t="s">
        <v>25</v>
      </c>
      <c r="C56" s="9"/>
      <c r="D56" s="9"/>
      <c r="E56" s="9"/>
      <c r="F56" s="9"/>
      <c r="G56" s="9"/>
      <c r="H56" s="9"/>
      <c r="I56" s="9"/>
      <c r="J56" s="1"/>
      <c r="K56" s="1"/>
    </row>
    <row r="57" spans="1:11">
      <c r="A57" s="1"/>
      <c r="B57" s="36"/>
      <c r="C57" s="9"/>
      <c r="D57" s="9"/>
      <c r="E57" s="9"/>
      <c r="F57" s="9"/>
      <c r="G57" s="9"/>
      <c r="H57" s="9"/>
      <c r="I57" s="9"/>
      <c r="J57" s="1"/>
      <c r="K57" s="1"/>
    </row>
    <row r="58" spans="1:11">
      <c r="A58" s="1"/>
      <c r="B58" s="36"/>
      <c r="C58" s="9"/>
      <c r="D58" s="9"/>
      <c r="E58" s="9"/>
      <c r="F58" s="9"/>
      <c r="G58" s="9"/>
      <c r="H58" s="9"/>
      <c r="I58" s="9"/>
      <c r="J58" s="1"/>
      <c r="K58" s="1"/>
    </row>
    <row r="59" spans="1:11">
      <c r="A59" s="1"/>
      <c r="B59" s="36"/>
      <c r="C59" s="9"/>
      <c r="D59" s="9"/>
      <c r="E59" s="9"/>
      <c r="F59" s="9"/>
      <c r="G59" s="9"/>
      <c r="H59" s="9"/>
      <c r="I59" s="9"/>
      <c r="J59" s="1"/>
      <c r="K59" s="1"/>
    </row>
    <row r="60" spans="1:11">
      <c r="A60" s="1"/>
      <c r="B60" s="41"/>
      <c r="C60" s="9"/>
      <c r="D60" s="43"/>
      <c r="E60" s="1"/>
      <c r="F60" s="6"/>
      <c r="G60" s="6"/>
      <c r="H60" s="44"/>
      <c r="I60" s="43"/>
      <c r="J60" s="1"/>
      <c r="K60" s="1"/>
    </row>
    <row r="61" spans="1:11">
      <c r="A61" s="1"/>
      <c r="B61" s="36"/>
      <c r="C61" s="9"/>
      <c r="D61" s="9"/>
      <c r="E61" s="9"/>
      <c r="F61" s="9"/>
      <c r="G61" s="9"/>
      <c r="H61" s="9"/>
      <c r="I61" s="9"/>
      <c r="J61" s="1"/>
      <c r="K61" s="1"/>
    </row>
    <row r="62" spans="1:11">
      <c r="A62" s="1"/>
      <c r="B62" s="41"/>
      <c r="C62" s="9"/>
      <c r="D62" s="9"/>
      <c r="E62" s="9"/>
      <c r="F62" s="9"/>
      <c r="G62" s="9"/>
      <c r="H62" s="9"/>
      <c r="I62" s="9"/>
      <c r="J62" s="1"/>
      <c r="K62" s="1"/>
    </row>
    <row r="63" spans="1:11">
      <c r="B63" s="36"/>
    </row>
  </sheetData>
  <mergeCells count="20">
    <mergeCell ref="B32:I35"/>
    <mergeCell ref="C20:D20"/>
    <mergeCell ref="E20:G20"/>
    <mergeCell ref="C25:D25"/>
    <mergeCell ref="E25:G25"/>
    <mergeCell ref="C27:E27"/>
    <mergeCell ref="C22:D23"/>
    <mergeCell ref="E22:G23"/>
    <mergeCell ref="H11:I11"/>
    <mergeCell ref="C12:E12"/>
    <mergeCell ref="H12:I12"/>
    <mergeCell ref="C14:E14"/>
    <mergeCell ref="C16:E16"/>
    <mergeCell ref="H16:I16"/>
    <mergeCell ref="C10:I10"/>
    <mergeCell ref="C1:I1"/>
    <mergeCell ref="C2:I2"/>
    <mergeCell ref="B5:D5"/>
    <mergeCell ref="E5:F5"/>
    <mergeCell ref="C8:I8"/>
  </mergeCells>
  <pageMargins left="0.7" right="0.7" top="0.75" bottom="0.75" header="0.3" footer="0.3"/>
  <pageSetup scale="75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4C708-F795-4A37-A7D3-A0D60FC4C029}">
  <sheetPr codeName="Hoja2"/>
  <dimension ref="B1:AA82"/>
  <sheetViews>
    <sheetView tabSelected="1" zoomScaleNormal="100" workbookViewId="0">
      <pane ySplit="13" topLeftCell="A14" activePane="bottomLeft" state="frozen"/>
      <selection pane="bottomLeft" activeCell="C34" sqref="C34"/>
    </sheetView>
  </sheetViews>
  <sheetFormatPr baseColWidth="10" defaultRowHeight="12.75" customHeight="1"/>
  <cols>
    <col min="1" max="1" width="1.42578125" style="319" customWidth="1"/>
    <col min="2" max="2" width="8" style="319" customWidth="1"/>
    <col min="3" max="3" width="45.5703125" style="319" customWidth="1"/>
    <col min="4" max="4" width="6.28515625" style="319" customWidth="1"/>
    <col min="5" max="5" width="8.28515625" style="319" customWidth="1"/>
    <col min="6" max="6" width="11.42578125" style="319" customWidth="1"/>
    <col min="7" max="7" width="11.5703125" style="319" customWidth="1"/>
    <col min="8" max="8" width="8.140625" style="319" hidden="1" customWidth="1"/>
    <col min="9" max="9" width="9.42578125" style="319" hidden="1" customWidth="1"/>
    <col min="10" max="10" width="8.140625" style="319" hidden="1" customWidth="1"/>
    <col min="11" max="11" width="9.140625" style="319" hidden="1" customWidth="1"/>
    <col min="12" max="12" width="8.140625" style="319" hidden="1" customWidth="1"/>
    <col min="13" max="13" width="8.5703125" style="319" hidden="1" customWidth="1"/>
    <col min="14" max="14" width="11.42578125" style="319" customWidth="1"/>
    <col min="15" max="15" width="12.5703125" style="319" customWidth="1"/>
    <col min="16" max="16" width="7.7109375" style="319" customWidth="1"/>
    <col min="17" max="17" width="10.140625" style="319" customWidth="1"/>
    <col min="18" max="18" width="7.7109375" style="319" customWidth="1"/>
    <col min="19" max="19" width="10.28515625" style="319" customWidth="1"/>
    <col min="20" max="20" width="7.7109375" style="319" customWidth="1"/>
    <col min="21" max="21" width="10" style="319" customWidth="1"/>
    <col min="22" max="22" width="7" style="319" customWidth="1"/>
    <col min="23" max="23" width="6.85546875" style="319" customWidth="1"/>
    <col min="24" max="24" width="9.85546875" style="319" customWidth="1"/>
    <col min="25" max="25" width="9.7109375" style="319" customWidth="1"/>
    <col min="26" max="16384" width="11.42578125" style="319"/>
  </cols>
  <sheetData>
    <row r="1" spans="2:26" ht="18">
      <c r="B1" s="596" t="s">
        <v>767</v>
      </c>
      <c r="C1" s="596"/>
      <c r="D1" s="596"/>
      <c r="E1" s="596"/>
      <c r="F1" s="596"/>
      <c r="G1" s="596"/>
      <c r="H1" s="596"/>
      <c r="I1" s="596"/>
      <c r="J1" s="596"/>
      <c r="K1" s="596"/>
      <c r="L1" s="596"/>
      <c r="M1" s="596"/>
      <c r="N1" s="596"/>
      <c r="O1" s="596"/>
      <c r="P1" s="596"/>
      <c r="Q1" s="596"/>
      <c r="R1" s="596"/>
      <c r="S1" s="596"/>
      <c r="T1" s="596"/>
      <c r="U1" s="596"/>
      <c r="V1" s="596"/>
      <c r="W1" s="596"/>
      <c r="X1" s="596"/>
      <c r="Y1" s="596"/>
    </row>
    <row r="3" spans="2:26">
      <c r="C3" s="332" t="s">
        <v>33</v>
      </c>
      <c r="D3" s="597" t="s">
        <v>422</v>
      </c>
      <c r="E3" s="597"/>
      <c r="F3" s="597"/>
      <c r="G3" s="597"/>
      <c r="H3" s="597"/>
      <c r="I3" s="597"/>
      <c r="J3" s="597"/>
      <c r="K3" s="597"/>
      <c r="L3" s="597"/>
      <c r="M3" s="597"/>
      <c r="N3" s="597"/>
      <c r="O3" s="597"/>
      <c r="Q3" s="340"/>
      <c r="R3" s="332" t="s">
        <v>34</v>
      </c>
      <c r="S3" s="598">
        <v>45783</v>
      </c>
      <c r="T3" s="598"/>
      <c r="U3" s="515"/>
      <c r="V3" s="599" t="s">
        <v>764</v>
      </c>
      <c r="W3" s="599"/>
      <c r="X3" s="599"/>
      <c r="Y3" s="599"/>
    </row>
    <row r="4" spans="2:26">
      <c r="C4" s="332"/>
      <c r="D4" s="516"/>
      <c r="E4" s="514"/>
      <c r="F4" s="514"/>
      <c r="G4" s="516"/>
      <c r="H4" s="514"/>
      <c r="I4" s="516"/>
      <c r="J4" s="514"/>
      <c r="K4" s="514"/>
      <c r="L4" s="514"/>
      <c r="M4" s="514"/>
      <c r="N4" s="516"/>
      <c r="O4" s="514"/>
      <c r="Q4" s="513"/>
      <c r="R4" s="332" t="s">
        <v>35</v>
      </c>
      <c r="S4" s="600">
        <v>270</v>
      </c>
      <c r="T4" s="600"/>
      <c r="U4" s="512" t="s">
        <v>36</v>
      </c>
      <c r="V4" s="515"/>
      <c r="W4" s="515"/>
      <c r="X4" s="515"/>
      <c r="Y4" s="515"/>
    </row>
    <row r="5" spans="2:26">
      <c r="C5" s="332" t="s">
        <v>37</v>
      </c>
      <c r="D5" s="597" t="s">
        <v>38</v>
      </c>
      <c r="E5" s="597"/>
      <c r="F5" s="597"/>
      <c r="G5" s="597"/>
      <c r="H5" s="597"/>
      <c r="I5" s="597"/>
      <c r="J5" s="597"/>
      <c r="K5" s="597"/>
      <c r="L5" s="597"/>
      <c r="M5" s="597"/>
      <c r="N5" s="597"/>
      <c r="O5" s="597"/>
      <c r="P5" s="340"/>
      <c r="Q5" s="332"/>
      <c r="R5" s="332" t="s">
        <v>39</v>
      </c>
      <c r="S5" s="600">
        <v>90</v>
      </c>
      <c r="T5" s="600"/>
      <c r="U5" s="512" t="s">
        <v>36</v>
      </c>
      <c r="V5" s="319" t="s">
        <v>763</v>
      </c>
      <c r="W5" s="601">
        <v>45904</v>
      </c>
      <c r="X5" s="601"/>
      <c r="Y5" s="601"/>
    </row>
    <row r="6" spans="2:26">
      <c r="B6" s="513"/>
      <c r="C6" s="515"/>
      <c r="D6" s="514"/>
      <c r="E6" s="514"/>
      <c r="F6" s="514"/>
      <c r="G6" s="514"/>
      <c r="H6" s="514"/>
      <c r="I6" s="514"/>
      <c r="J6" s="514"/>
      <c r="K6" s="514"/>
      <c r="L6" s="514"/>
      <c r="M6" s="514"/>
      <c r="N6" s="514"/>
      <c r="O6" s="514"/>
      <c r="P6" s="513"/>
      <c r="Q6" s="513"/>
      <c r="R6" s="332" t="s">
        <v>40</v>
      </c>
      <c r="S6" s="598">
        <f>+S3+S4+S5-1</f>
        <v>46142</v>
      </c>
      <c r="T6" s="600"/>
      <c r="U6" s="512" t="s">
        <v>36</v>
      </c>
      <c r="V6" s="319" t="s">
        <v>762</v>
      </c>
      <c r="W6" s="601">
        <v>45999</v>
      </c>
      <c r="X6" s="601"/>
      <c r="Y6" s="601"/>
    </row>
    <row r="7" spans="2:26" ht="12.75" customHeight="1">
      <c r="C7" s="332" t="s">
        <v>41</v>
      </c>
      <c r="D7" s="597" t="s">
        <v>46</v>
      </c>
      <c r="E7" s="597"/>
      <c r="F7" s="597"/>
      <c r="G7" s="597"/>
      <c r="H7" s="597"/>
      <c r="I7" s="597"/>
      <c r="J7" s="597"/>
      <c r="K7" s="597"/>
      <c r="L7" s="597"/>
      <c r="M7" s="597"/>
      <c r="N7" s="597"/>
      <c r="O7" s="597"/>
      <c r="V7" s="511"/>
      <c r="W7" s="511"/>
      <c r="X7" s="511"/>
      <c r="Y7" s="511"/>
    </row>
    <row r="8" spans="2:26">
      <c r="C8" s="332"/>
      <c r="Z8" s="331"/>
    </row>
    <row r="9" spans="2:26" ht="13.5" thickBot="1">
      <c r="C9" s="332"/>
      <c r="D9" s="340"/>
      <c r="E9" s="340"/>
      <c r="F9" s="340"/>
      <c r="G9" s="332" t="s">
        <v>761</v>
      </c>
      <c r="H9" s="340"/>
      <c r="I9" s="332"/>
      <c r="J9" s="332"/>
      <c r="K9" s="332"/>
      <c r="L9" s="332"/>
      <c r="N9" s="602">
        <f>G51</f>
        <v>3367031.95</v>
      </c>
      <c r="O9" s="602"/>
      <c r="Q9" s="332"/>
      <c r="R9" s="510"/>
      <c r="S9" s="340"/>
      <c r="V9" s="332"/>
      <c r="W9" s="332"/>
      <c r="X9" s="332"/>
      <c r="Y9" s="340"/>
      <c r="Z9" s="331"/>
    </row>
    <row r="10" spans="2:26" ht="13.5" thickBot="1">
      <c r="P10" s="603" t="s">
        <v>760</v>
      </c>
      <c r="Q10" s="604"/>
      <c r="R10" s="604"/>
      <c r="S10" s="604"/>
      <c r="T10" s="604"/>
      <c r="U10" s="605"/>
      <c r="Z10" s="331"/>
    </row>
    <row r="11" spans="2:26">
      <c r="B11" s="610" t="s">
        <v>9</v>
      </c>
      <c r="C11" s="609" t="s">
        <v>759</v>
      </c>
      <c r="D11" s="610" t="s">
        <v>82</v>
      </c>
      <c r="E11" s="641" t="s">
        <v>758</v>
      </c>
      <c r="F11" s="642" t="s">
        <v>757</v>
      </c>
      <c r="G11" s="608"/>
      <c r="H11" s="608" t="s">
        <v>756</v>
      </c>
      <c r="I11" s="608"/>
      <c r="J11" s="608" t="s">
        <v>755</v>
      </c>
      <c r="K11" s="608"/>
      <c r="L11" s="608" t="s">
        <v>754</v>
      </c>
      <c r="M11" s="609"/>
      <c r="N11" s="610" t="s">
        <v>753</v>
      </c>
      <c r="O11" s="611"/>
      <c r="P11" s="612">
        <f>Q51/O51</f>
        <v>0.56966311001554304</v>
      </c>
      <c r="Q11" s="613"/>
      <c r="R11" s="633">
        <f>S51/O51</f>
        <v>5.1320128231666443E-3</v>
      </c>
      <c r="S11" s="634"/>
      <c r="T11" s="612">
        <f>U51/O51</f>
        <v>0.574795117298736</v>
      </c>
      <c r="U11" s="613"/>
      <c r="V11" s="630" t="s">
        <v>752</v>
      </c>
      <c r="W11" s="610" t="s">
        <v>751</v>
      </c>
      <c r="X11" s="608"/>
      <c r="Y11" s="611"/>
      <c r="Z11" s="331"/>
    </row>
    <row r="12" spans="2:26" ht="12.75" customHeight="1">
      <c r="B12" s="622"/>
      <c r="C12" s="625"/>
      <c r="D12" s="622"/>
      <c r="E12" s="606"/>
      <c r="F12" s="614" t="s">
        <v>750</v>
      </c>
      <c r="G12" s="616" t="s">
        <v>748</v>
      </c>
      <c r="H12" s="509" t="s">
        <v>741</v>
      </c>
      <c r="I12" s="616" t="s">
        <v>748</v>
      </c>
      <c r="J12" s="509" t="s">
        <v>741</v>
      </c>
      <c r="K12" s="616" t="s">
        <v>748</v>
      </c>
      <c r="L12" s="509" t="s">
        <v>741</v>
      </c>
      <c r="M12" s="618" t="s">
        <v>748</v>
      </c>
      <c r="N12" s="620" t="s">
        <v>749</v>
      </c>
      <c r="O12" s="606" t="s">
        <v>748</v>
      </c>
      <c r="P12" s="624" t="s">
        <v>747</v>
      </c>
      <c r="Q12" s="625"/>
      <c r="R12" s="622" t="s">
        <v>746</v>
      </c>
      <c r="S12" s="623"/>
      <c r="T12" s="624" t="s">
        <v>745</v>
      </c>
      <c r="U12" s="625"/>
      <c r="V12" s="631"/>
      <c r="W12" s="622" t="s">
        <v>741</v>
      </c>
      <c r="X12" s="627" t="s">
        <v>740</v>
      </c>
      <c r="Y12" s="623" t="s">
        <v>744</v>
      </c>
      <c r="Z12" s="331"/>
    </row>
    <row r="13" spans="2:26" ht="13.5" thickBot="1">
      <c r="B13" s="626"/>
      <c r="C13" s="640"/>
      <c r="D13" s="626"/>
      <c r="E13" s="607"/>
      <c r="F13" s="615"/>
      <c r="G13" s="617"/>
      <c r="H13" s="508" t="s">
        <v>743</v>
      </c>
      <c r="I13" s="617"/>
      <c r="J13" s="508" t="s">
        <v>743</v>
      </c>
      <c r="K13" s="617"/>
      <c r="L13" s="508" t="s">
        <v>743</v>
      </c>
      <c r="M13" s="619"/>
      <c r="N13" s="621"/>
      <c r="O13" s="607"/>
      <c r="P13" s="505" t="s">
        <v>742</v>
      </c>
      <c r="Q13" s="504" t="s">
        <v>740</v>
      </c>
      <c r="R13" s="507" t="s">
        <v>741</v>
      </c>
      <c r="S13" s="506" t="s">
        <v>740</v>
      </c>
      <c r="T13" s="505" t="s">
        <v>741</v>
      </c>
      <c r="U13" s="504" t="s">
        <v>740</v>
      </c>
      <c r="V13" s="632"/>
      <c r="W13" s="626"/>
      <c r="X13" s="628"/>
      <c r="Y13" s="629"/>
      <c r="Z13" s="331"/>
    </row>
    <row r="14" spans="2:26" ht="13.5" thickBot="1">
      <c r="B14" s="635"/>
      <c r="C14" s="635"/>
      <c r="D14" s="636"/>
      <c r="Z14" s="331"/>
    </row>
    <row r="15" spans="2:26" ht="13.5" thickBot="1">
      <c r="B15" s="470" t="s">
        <v>739</v>
      </c>
      <c r="C15" s="469" t="s">
        <v>114</v>
      </c>
      <c r="D15" s="497"/>
      <c r="E15" s="466"/>
      <c r="F15" s="502"/>
      <c r="G15" s="459">
        <f>SUM(G16:G31)</f>
        <v>3312701.83</v>
      </c>
      <c r="H15" s="464"/>
      <c r="I15" s="459">
        <f>SUM(I16:I18)</f>
        <v>0</v>
      </c>
      <c r="J15" s="464"/>
      <c r="K15" s="459">
        <f>SUM(K16:K18)</f>
        <v>0</v>
      </c>
      <c r="L15" s="464"/>
      <c r="M15" s="459">
        <f>SUM(M16:M18)</f>
        <v>0</v>
      </c>
      <c r="N15" s="502"/>
      <c r="O15" s="459">
        <f>SUM(O16:O31)</f>
        <v>3476708.0900000003</v>
      </c>
      <c r="P15" s="496"/>
      <c r="Q15" s="459">
        <f>SUM(Q16:Q31)</f>
        <v>1977468.0599999998</v>
      </c>
      <c r="R15" s="464"/>
      <c r="S15" s="459">
        <f>SUM(S16:S31)</f>
        <v>18527.21</v>
      </c>
      <c r="T15" s="503"/>
      <c r="U15" s="459">
        <f>SUM(U16:U31)</f>
        <v>1995995.2500000002</v>
      </c>
      <c r="V15" s="495"/>
      <c r="W15" s="502"/>
      <c r="X15" s="459">
        <f>SUM(X16:X31)</f>
        <v>1480712.8299999998</v>
      </c>
      <c r="Y15" s="501"/>
      <c r="Z15" s="331"/>
    </row>
    <row r="16" spans="2:26">
      <c r="B16" s="457">
        <v>1</v>
      </c>
      <c r="C16" s="456" t="s">
        <v>116</v>
      </c>
      <c r="D16" s="455" t="s">
        <v>53</v>
      </c>
      <c r="E16" s="454">
        <v>8138.21893</v>
      </c>
      <c r="F16" s="453">
        <v>1</v>
      </c>
      <c r="G16" s="450">
        <f t="shared" ref="G16:G31" si="0">ROUND(E16*F16,2)</f>
        <v>8138.22</v>
      </c>
      <c r="H16" s="451"/>
      <c r="I16" s="450">
        <f>ROUND(E16*H16,2)</f>
        <v>0</v>
      </c>
      <c r="J16" s="451"/>
      <c r="K16" s="450">
        <f>ROUND(E16*J16,2)</f>
        <v>0</v>
      </c>
      <c r="L16" s="451"/>
      <c r="M16" s="450">
        <f>ROUND(E16*L16,2)</f>
        <v>0</v>
      </c>
      <c r="N16" s="452">
        <v>1</v>
      </c>
      <c r="O16" s="494">
        <f t="shared" ref="O16:O31" si="1">ROUND(N16*E16,2)</f>
        <v>8138.22</v>
      </c>
      <c r="P16" s="493">
        <v>1</v>
      </c>
      <c r="Q16" s="450">
        <f t="shared" ref="Q16:Q31" si="2">ROUND(E16*P16,2)</f>
        <v>8138.22</v>
      </c>
      <c r="R16" s="449"/>
      <c r="S16" s="426">
        <f t="shared" ref="S16:S31" si="3">ROUND(E16*R16,2)</f>
        <v>0</v>
      </c>
      <c r="T16" s="447">
        <f t="shared" ref="T16:T31" si="4">P16+R16</f>
        <v>1</v>
      </c>
      <c r="U16" s="492">
        <f t="shared" ref="U16:U31" si="5">ROUND(E16*T16,2)</f>
        <v>8138.22</v>
      </c>
      <c r="V16" s="446">
        <f t="shared" ref="V16:V31" si="6">IF(N16&lt;=0,0,T16/N16)</f>
        <v>1</v>
      </c>
      <c r="W16" s="445">
        <f t="shared" ref="W16:W31" si="7">N16-T16</f>
        <v>0</v>
      </c>
      <c r="X16" s="444">
        <f t="shared" ref="X16:X31" si="8">ROUND(E16*W16,2)</f>
        <v>0</v>
      </c>
      <c r="Y16" s="443">
        <f>+X16/O16</f>
        <v>0</v>
      </c>
      <c r="Z16" s="331"/>
    </row>
    <row r="17" spans="2:27">
      <c r="B17" s="435">
        <f t="shared" ref="B17:B31" si="9">B16+1</f>
        <v>2</v>
      </c>
      <c r="C17" s="434" t="s">
        <v>117</v>
      </c>
      <c r="D17" s="433" t="s">
        <v>51</v>
      </c>
      <c r="E17" s="432">
        <v>206.31868</v>
      </c>
      <c r="F17" s="431">
        <v>46</v>
      </c>
      <c r="G17" s="428">
        <f t="shared" si="0"/>
        <v>9490.66</v>
      </c>
      <c r="H17" s="429"/>
      <c r="I17" s="428">
        <f>ROUND(E17*H17,2)</f>
        <v>0</v>
      </c>
      <c r="J17" s="429"/>
      <c r="K17" s="428">
        <f>ROUND(E17*J17,2)</f>
        <v>0</v>
      </c>
      <c r="L17" s="429"/>
      <c r="M17" s="428">
        <f>ROUND(E17*L17,2)</f>
        <v>0</v>
      </c>
      <c r="N17" s="430">
        <v>56</v>
      </c>
      <c r="O17" s="491">
        <f t="shared" si="1"/>
        <v>11553.85</v>
      </c>
      <c r="P17" s="490">
        <v>56</v>
      </c>
      <c r="Q17" s="428">
        <f t="shared" si="2"/>
        <v>11553.85</v>
      </c>
      <c r="R17" s="427"/>
      <c r="S17" s="426">
        <f t="shared" si="3"/>
        <v>0</v>
      </c>
      <c r="T17" s="425">
        <f t="shared" si="4"/>
        <v>56</v>
      </c>
      <c r="U17" s="489">
        <f t="shared" si="5"/>
        <v>11553.85</v>
      </c>
      <c r="V17" s="488">
        <f t="shared" si="6"/>
        <v>1</v>
      </c>
      <c r="W17" s="423">
        <f t="shared" si="7"/>
        <v>0</v>
      </c>
      <c r="X17" s="422">
        <f t="shared" si="8"/>
        <v>0</v>
      </c>
      <c r="Y17" s="421">
        <f>+X17/O17</f>
        <v>0</v>
      </c>
      <c r="Z17" s="331"/>
    </row>
    <row r="18" spans="2:27">
      <c r="B18" s="435">
        <f t="shared" si="9"/>
        <v>3</v>
      </c>
      <c r="C18" s="434" t="s">
        <v>52</v>
      </c>
      <c r="D18" s="433" t="s">
        <v>50</v>
      </c>
      <c r="E18" s="432">
        <v>5.0272899999999998</v>
      </c>
      <c r="F18" s="431">
        <v>1326.6</v>
      </c>
      <c r="G18" s="428">
        <f t="shared" si="0"/>
        <v>6669.2</v>
      </c>
      <c r="H18" s="429"/>
      <c r="I18" s="428">
        <f>ROUND(E18*H18,2)</f>
        <v>0</v>
      </c>
      <c r="J18" s="429"/>
      <c r="K18" s="428">
        <f>ROUND(E18*J18,2)</f>
        <v>0</v>
      </c>
      <c r="L18" s="429"/>
      <c r="M18" s="428">
        <f>ROUND(E18*L18,2)</f>
        <v>0</v>
      </c>
      <c r="N18" s="430">
        <v>1326.6</v>
      </c>
      <c r="O18" s="491">
        <f t="shared" si="1"/>
        <v>6669.2</v>
      </c>
      <c r="P18" s="490">
        <v>1326.6</v>
      </c>
      <c r="Q18" s="428">
        <f t="shared" si="2"/>
        <v>6669.2</v>
      </c>
      <c r="R18" s="427"/>
      <c r="S18" s="426">
        <f t="shared" si="3"/>
        <v>0</v>
      </c>
      <c r="T18" s="425">
        <f t="shared" si="4"/>
        <v>1326.6</v>
      </c>
      <c r="U18" s="489">
        <f t="shared" si="5"/>
        <v>6669.2</v>
      </c>
      <c r="V18" s="488">
        <f t="shared" si="6"/>
        <v>1</v>
      </c>
      <c r="W18" s="423">
        <f t="shared" si="7"/>
        <v>0</v>
      </c>
      <c r="X18" s="422">
        <f t="shared" si="8"/>
        <v>0</v>
      </c>
      <c r="Y18" s="421">
        <v>0</v>
      </c>
      <c r="Z18" s="331"/>
    </row>
    <row r="19" spans="2:27">
      <c r="B19" s="435">
        <f t="shared" si="9"/>
        <v>4</v>
      </c>
      <c r="C19" s="434" t="s">
        <v>118</v>
      </c>
      <c r="D19" s="433" t="s">
        <v>48</v>
      </c>
      <c r="E19" s="432">
        <v>71.225300000000004</v>
      </c>
      <c r="F19" s="431">
        <v>156.76</v>
      </c>
      <c r="G19" s="428">
        <f t="shared" si="0"/>
        <v>11165.28</v>
      </c>
      <c r="H19" s="429"/>
      <c r="I19" s="428"/>
      <c r="J19" s="429"/>
      <c r="K19" s="428"/>
      <c r="L19" s="429"/>
      <c r="M19" s="428"/>
      <c r="N19" s="430">
        <v>60.79</v>
      </c>
      <c r="O19" s="491">
        <f t="shared" si="1"/>
        <v>4329.79</v>
      </c>
      <c r="P19" s="490">
        <v>60.790000000000006</v>
      </c>
      <c r="Q19" s="428">
        <f t="shared" si="2"/>
        <v>4329.79</v>
      </c>
      <c r="R19" s="427"/>
      <c r="S19" s="426">
        <f t="shared" si="3"/>
        <v>0</v>
      </c>
      <c r="T19" s="425">
        <f t="shared" si="4"/>
        <v>60.790000000000006</v>
      </c>
      <c r="U19" s="489">
        <f t="shared" si="5"/>
        <v>4329.79</v>
      </c>
      <c r="V19" s="488">
        <f t="shared" si="6"/>
        <v>1.0000000000000002</v>
      </c>
      <c r="W19" s="423">
        <f t="shared" si="7"/>
        <v>0</v>
      </c>
      <c r="X19" s="422">
        <f t="shared" si="8"/>
        <v>0</v>
      </c>
      <c r="Y19" s="421">
        <f t="shared" ref="Y19:Y29" si="10">+X19/O19</f>
        <v>0</v>
      </c>
      <c r="Z19" s="331"/>
    </row>
    <row r="20" spans="2:27">
      <c r="B20" s="435">
        <f t="shared" si="9"/>
        <v>5</v>
      </c>
      <c r="C20" s="434" t="s">
        <v>107</v>
      </c>
      <c r="D20" s="433" t="s">
        <v>48</v>
      </c>
      <c r="E20" s="432">
        <v>70.854240000000004</v>
      </c>
      <c r="F20" s="431">
        <v>723.94</v>
      </c>
      <c r="G20" s="428">
        <f t="shared" si="0"/>
        <v>51294.22</v>
      </c>
      <c r="H20" s="429"/>
      <c r="I20" s="428"/>
      <c r="J20" s="429"/>
      <c r="K20" s="428"/>
      <c r="L20" s="429"/>
      <c r="M20" s="428"/>
      <c r="N20" s="430">
        <v>138.94999999999999</v>
      </c>
      <c r="O20" s="491">
        <f t="shared" si="1"/>
        <v>9845.2000000000007</v>
      </c>
      <c r="P20" s="490">
        <v>138.94999999999999</v>
      </c>
      <c r="Q20" s="428">
        <f t="shared" si="2"/>
        <v>9845.2000000000007</v>
      </c>
      <c r="R20" s="427"/>
      <c r="S20" s="426">
        <f t="shared" si="3"/>
        <v>0</v>
      </c>
      <c r="T20" s="425">
        <f t="shared" si="4"/>
        <v>138.94999999999999</v>
      </c>
      <c r="U20" s="489">
        <f t="shared" si="5"/>
        <v>9845.2000000000007</v>
      </c>
      <c r="V20" s="488">
        <f t="shared" si="6"/>
        <v>1</v>
      </c>
      <c r="W20" s="423">
        <f t="shared" si="7"/>
        <v>0</v>
      </c>
      <c r="X20" s="422">
        <f t="shared" si="8"/>
        <v>0</v>
      </c>
      <c r="Y20" s="421">
        <f t="shared" si="10"/>
        <v>0</v>
      </c>
      <c r="Z20" s="331"/>
    </row>
    <row r="21" spans="2:27">
      <c r="B21" s="435">
        <f t="shared" si="9"/>
        <v>6</v>
      </c>
      <c r="C21" s="434" t="s">
        <v>108</v>
      </c>
      <c r="D21" s="433" t="s">
        <v>48</v>
      </c>
      <c r="E21" s="432">
        <v>781.55542000000003</v>
      </c>
      <c r="F21" s="431">
        <v>10.85</v>
      </c>
      <c r="G21" s="428">
        <f t="shared" si="0"/>
        <v>8479.8799999999992</v>
      </c>
      <c r="H21" s="429"/>
      <c r="I21" s="428"/>
      <c r="J21" s="429"/>
      <c r="K21" s="428"/>
      <c r="L21" s="429"/>
      <c r="M21" s="428"/>
      <c r="N21" s="430">
        <v>12.06</v>
      </c>
      <c r="O21" s="491">
        <f t="shared" si="1"/>
        <v>9425.56</v>
      </c>
      <c r="P21" s="490">
        <v>12.059999999999999</v>
      </c>
      <c r="Q21" s="428">
        <f t="shared" si="2"/>
        <v>9425.56</v>
      </c>
      <c r="R21" s="427"/>
      <c r="S21" s="426">
        <f t="shared" si="3"/>
        <v>0</v>
      </c>
      <c r="T21" s="425">
        <f t="shared" si="4"/>
        <v>12.059999999999999</v>
      </c>
      <c r="U21" s="489">
        <f t="shared" si="5"/>
        <v>9425.56</v>
      </c>
      <c r="V21" s="488">
        <f t="shared" si="6"/>
        <v>0.99999999999999989</v>
      </c>
      <c r="W21" s="423">
        <f t="shared" si="7"/>
        <v>0</v>
      </c>
      <c r="X21" s="422">
        <f t="shared" si="8"/>
        <v>0</v>
      </c>
      <c r="Y21" s="421">
        <f t="shared" si="10"/>
        <v>0</v>
      </c>
      <c r="Z21" s="331"/>
    </row>
    <row r="22" spans="2:27">
      <c r="B22" s="435">
        <f t="shared" si="9"/>
        <v>7</v>
      </c>
      <c r="C22" s="434" t="s">
        <v>119</v>
      </c>
      <c r="D22" s="433" t="s">
        <v>48</v>
      </c>
      <c r="E22" s="432">
        <v>71.230980000000002</v>
      </c>
      <c r="F22" s="431">
        <v>998.71</v>
      </c>
      <c r="G22" s="428">
        <f t="shared" si="0"/>
        <v>71139.09</v>
      </c>
      <c r="H22" s="429"/>
      <c r="I22" s="428"/>
      <c r="J22" s="429"/>
      <c r="K22" s="428"/>
      <c r="L22" s="429"/>
      <c r="M22" s="428"/>
      <c r="N22" s="430">
        <v>641.08000000000004</v>
      </c>
      <c r="O22" s="491">
        <f t="shared" si="1"/>
        <v>45664.76</v>
      </c>
      <c r="P22" s="490">
        <v>641.08000000000004</v>
      </c>
      <c r="Q22" s="428">
        <f t="shared" si="2"/>
        <v>45664.76</v>
      </c>
      <c r="R22" s="427"/>
      <c r="S22" s="426">
        <f t="shared" si="3"/>
        <v>0</v>
      </c>
      <c r="T22" s="425">
        <f t="shared" si="4"/>
        <v>641.08000000000004</v>
      </c>
      <c r="U22" s="489">
        <f t="shared" si="5"/>
        <v>45664.76</v>
      </c>
      <c r="V22" s="488">
        <f t="shared" si="6"/>
        <v>1</v>
      </c>
      <c r="W22" s="423">
        <f t="shared" si="7"/>
        <v>0</v>
      </c>
      <c r="X22" s="422">
        <f t="shared" si="8"/>
        <v>0</v>
      </c>
      <c r="Y22" s="421">
        <f t="shared" si="10"/>
        <v>0</v>
      </c>
      <c r="Z22" s="331"/>
    </row>
    <row r="23" spans="2:27">
      <c r="B23" s="435">
        <f t="shared" si="9"/>
        <v>8</v>
      </c>
      <c r="C23" s="434" t="s">
        <v>120</v>
      </c>
      <c r="D23" s="433" t="s">
        <v>109</v>
      </c>
      <c r="E23" s="432">
        <v>16.755839999999999</v>
      </c>
      <c r="F23" s="431">
        <v>59029.919999999998</v>
      </c>
      <c r="G23" s="428">
        <f t="shared" si="0"/>
        <v>989095.89</v>
      </c>
      <c r="H23" s="429"/>
      <c r="I23" s="428"/>
      <c r="J23" s="429"/>
      <c r="K23" s="428"/>
      <c r="L23" s="429"/>
      <c r="M23" s="428"/>
      <c r="N23" s="430">
        <v>77979.509999999995</v>
      </c>
      <c r="O23" s="491">
        <f t="shared" si="1"/>
        <v>1306612.19</v>
      </c>
      <c r="P23" s="490">
        <v>52424.65</v>
      </c>
      <c r="Q23" s="428">
        <f t="shared" si="2"/>
        <v>878419.05</v>
      </c>
      <c r="R23" s="427">
        <v>-1915.16</v>
      </c>
      <c r="S23" s="426">
        <f t="shared" si="3"/>
        <v>-32090.11</v>
      </c>
      <c r="T23" s="425">
        <f t="shared" si="4"/>
        <v>50509.49</v>
      </c>
      <c r="U23" s="489">
        <f t="shared" si="5"/>
        <v>846328.93</v>
      </c>
      <c r="V23" s="488">
        <f t="shared" si="6"/>
        <v>0.64772771719134936</v>
      </c>
      <c r="W23" s="423">
        <f t="shared" si="7"/>
        <v>27470.019999999997</v>
      </c>
      <c r="X23" s="422">
        <f t="shared" si="8"/>
        <v>460283.26</v>
      </c>
      <c r="Y23" s="421">
        <f t="shared" si="10"/>
        <v>0.35227228363758034</v>
      </c>
    </row>
    <row r="24" spans="2:27">
      <c r="B24" s="435">
        <f t="shared" si="9"/>
        <v>9</v>
      </c>
      <c r="C24" s="434" t="s">
        <v>87</v>
      </c>
      <c r="D24" s="433" t="s">
        <v>48</v>
      </c>
      <c r="E24" s="432">
        <v>1264.61232</v>
      </c>
      <c r="F24" s="431">
        <v>176.47</v>
      </c>
      <c r="G24" s="428">
        <f t="shared" si="0"/>
        <v>223166.14</v>
      </c>
      <c r="H24" s="429"/>
      <c r="I24" s="428"/>
      <c r="J24" s="429"/>
      <c r="K24" s="428"/>
      <c r="L24" s="429"/>
      <c r="M24" s="428"/>
      <c r="N24" s="430">
        <v>204.68</v>
      </c>
      <c r="O24" s="491">
        <f t="shared" si="1"/>
        <v>258840.85</v>
      </c>
      <c r="P24" s="490">
        <v>204.68</v>
      </c>
      <c r="Q24" s="428">
        <f t="shared" si="2"/>
        <v>258840.85</v>
      </c>
      <c r="R24" s="427"/>
      <c r="S24" s="426">
        <f t="shared" si="3"/>
        <v>0</v>
      </c>
      <c r="T24" s="425">
        <f t="shared" si="4"/>
        <v>204.68</v>
      </c>
      <c r="U24" s="489">
        <f t="shared" si="5"/>
        <v>258840.85</v>
      </c>
      <c r="V24" s="488">
        <f t="shared" si="6"/>
        <v>1</v>
      </c>
      <c r="W24" s="423">
        <f t="shared" si="7"/>
        <v>0</v>
      </c>
      <c r="X24" s="422">
        <f t="shared" si="8"/>
        <v>0</v>
      </c>
      <c r="Y24" s="421">
        <f t="shared" si="10"/>
        <v>0</v>
      </c>
      <c r="Z24" s="331"/>
    </row>
    <row r="25" spans="2:27">
      <c r="B25" s="435">
        <f t="shared" si="9"/>
        <v>10</v>
      </c>
      <c r="C25" s="434" t="s">
        <v>121</v>
      </c>
      <c r="D25" s="433" t="s">
        <v>48</v>
      </c>
      <c r="E25" s="432">
        <v>1220.9679799999999</v>
      </c>
      <c r="F25" s="431">
        <v>26.94</v>
      </c>
      <c r="G25" s="428">
        <f t="shared" si="0"/>
        <v>32892.879999999997</v>
      </c>
      <c r="H25" s="429"/>
      <c r="I25" s="428"/>
      <c r="J25" s="429"/>
      <c r="K25" s="428"/>
      <c r="L25" s="429"/>
      <c r="M25" s="428"/>
      <c r="N25" s="430">
        <v>28.27</v>
      </c>
      <c r="O25" s="491">
        <f t="shared" si="1"/>
        <v>34516.76</v>
      </c>
      <c r="P25" s="490">
        <v>28.270000000000003</v>
      </c>
      <c r="Q25" s="428">
        <f t="shared" si="2"/>
        <v>34516.76</v>
      </c>
      <c r="R25" s="427"/>
      <c r="S25" s="426">
        <f t="shared" si="3"/>
        <v>0</v>
      </c>
      <c r="T25" s="425">
        <f t="shared" si="4"/>
        <v>28.270000000000003</v>
      </c>
      <c r="U25" s="489">
        <f t="shared" si="5"/>
        <v>34516.76</v>
      </c>
      <c r="V25" s="488">
        <f t="shared" si="6"/>
        <v>1.0000000000000002</v>
      </c>
      <c r="W25" s="423">
        <f t="shared" si="7"/>
        <v>0</v>
      </c>
      <c r="X25" s="422">
        <f t="shared" si="8"/>
        <v>0</v>
      </c>
      <c r="Y25" s="421">
        <f t="shared" si="10"/>
        <v>0</v>
      </c>
      <c r="Z25" s="331"/>
    </row>
    <row r="26" spans="2:27">
      <c r="B26" s="435">
        <f t="shared" si="9"/>
        <v>11</v>
      </c>
      <c r="C26" s="434" t="s">
        <v>122</v>
      </c>
      <c r="D26" s="433" t="s">
        <v>48</v>
      </c>
      <c r="E26" s="432">
        <v>2391.7549800000002</v>
      </c>
      <c r="F26" s="431">
        <v>189.19</v>
      </c>
      <c r="G26" s="428">
        <f t="shared" si="0"/>
        <v>452496.12</v>
      </c>
      <c r="H26" s="429"/>
      <c r="I26" s="428"/>
      <c r="J26" s="429"/>
      <c r="K26" s="428"/>
      <c r="L26" s="429"/>
      <c r="M26" s="428"/>
      <c r="N26" s="430">
        <v>173.06</v>
      </c>
      <c r="O26" s="491">
        <f t="shared" si="1"/>
        <v>413917.12</v>
      </c>
      <c r="P26" s="490">
        <v>114.54</v>
      </c>
      <c r="Q26" s="428">
        <f t="shared" si="2"/>
        <v>273951.62</v>
      </c>
      <c r="R26" s="427">
        <v>20.09</v>
      </c>
      <c r="S26" s="426">
        <f t="shared" si="3"/>
        <v>48050.36</v>
      </c>
      <c r="T26" s="425">
        <f t="shared" si="4"/>
        <v>134.63</v>
      </c>
      <c r="U26" s="489">
        <f t="shared" si="5"/>
        <v>322001.96999999997</v>
      </c>
      <c r="V26" s="488">
        <f t="shared" si="6"/>
        <v>0.77793828729920256</v>
      </c>
      <c r="W26" s="423">
        <f t="shared" si="7"/>
        <v>38.430000000000007</v>
      </c>
      <c r="X26" s="422">
        <f t="shared" si="8"/>
        <v>91915.14</v>
      </c>
      <c r="Y26" s="421">
        <f t="shared" si="10"/>
        <v>0.22206170162761085</v>
      </c>
    </row>
    <row r="27" spans="2:27">
      <c r="B27" s="435">
        <f t="shared" si="9"/>
        <v>12</v>
      </c>
      <c r="C27" s="434" t="s">
        <v>123</v>
      </c>
      <c r="D27" s="433" t="s">
        <v>48</v>
      </c>
      <c r="E27" s="432">
        <v>2307.6252899999999</v>
      </c>
      <c r="F27" s="431">
        <v>274.17</v>
      </c>
      <c r="G27" s="428">
        <f t="shared" si="0"/>
        <v>632681.63</v>
      </c>
      <c r="H27" s="429"/>
      <c r="I27" s="428"/>
      <c r="J27" s="429"/>
      <c r="K27" s="428"/>
      <c r="L27" s="429"/>
      <c r="M27" s="428"/>
      <c r="N27" s="430">
        <v>252.4</v>
      </c>
      <c r="O27" s="491">
        <f t="shared" si="1"/>
        <v>582444.62</v>
      </c>
      <c r="P27" s="490">
        <v>85.26</v>
      </c>
      <c r="Q27" s="428">
        <f t="shared" si="2"/>
        <v>196748.13</v>
      </c>
      <c r="R27" s="427"/>
      <c r="S27" s="426">
        <f t="shared" si="3"/>
        <v>0</v>
      </c>
      <c r="T27" s="425">
        <f t="shared" si="4"/>
        <v>85.26</v>
      </c>
      <c r="U27" s="489">
        <f t="shared" si="5"/>
        <v>196748.13</v>
      </c>
      <c r="V27" s="488">
        <f t="shared" si="6"/>
        <v>0.33779714738510302</v>
      </c>
      <c r="W27" s="423">
        <f t="shared" si="7"/>
        <v>167.14</v>
      </c>
      <c r="X27" s="422">
        <f t="shared" si="8"/>
        <v>385696.49</v>
      </c>
      <c r="Y27" s="421">
        <f t="shared" si="10"/>
        <v>0.66220285458212313</v>
      </c>
      <c r="Z27" s="331"/>
    </row>
    <row r="28" spans="2:27">
      <c r="B28" s="435">
        <f t="shared" si="9"/>
        <v>13</v>
      </c>
      <c r="C28" s="434" t="s">
        <v>124</v>
      </c>
      <c r="D28" s="433" t="s">
        <v>50</v>
      </c>
      <c r="E28" s="432">
        <v>215.67529999999999</v>
      </c>
      <c r="F28" s="431">
        <v>3348.75</v>
      </c>
      <c r="G28" s="428">
        <f t="shared" si="0"/>
        <v>722242.66</v>
      </c>
      <c r="H28" s="429"/>
      <c r="I28" s="428"/>
      <c r="J28" s="429"/>
      <c r="K28" s="428"/>
      <c r="L28" s="429"/>
      <c r="M28" s="428"/>
      <c r="N28" s="430">
        <v>3344.44</v>
      </c>
      <c r="O28" s="491">
        <f t="shared" si="1"/>
        <v>721313.1</v>
      </c>
      <c r="P28" s="490">
        <v>1109.8399999999999</v>
      </c>
      <c r="Q28" s="428">
        <f t="shared" si="2"/>
        <v>239365.07</v>
      </c>
      <c r="R28" s="427"/>
      <c r="S28" s="426">
        <f t="shared" si="3"/>
        <v>0</v>
      </c>
      <c r="T28" s="425">
        <f t="shared" si="4"/>
        <v>1109.8399999999999</v>
      </c>
      <c r="U28" s="489">
        <f t="shared" si="5"/>
        <v>239365.07</v>
      </c>
      <c r="V28" s="488">
        <f t="shared" si="6"/>
        <v>0.3318462881678248</v>
      </c>
      <c r="W28" s="423">
        <f t="shared" si="7"/>
        <v>2234.6000000000004</v>
      </c>
      <c r="X28" s="422">
        <f t="shared" si="8"/>
        <v>481948.03</v>
      </c>
      <c r="Y28" s="421">
        <f t="shared" si="10"/>
        <v>0.66815371854469308</v>
      </c>
    </row>
    <row r="29" spans="2:27">
      <c r="B29" s="435">
        <f t="shared" si="9"/>
        <v>14</v>
      </c>
      <c r="C29" s="434" t="s">
        <v>125</v>
      </c>
      <c r="D29" s="433" t="s">
        <v>48</v>
      </c>
      <c r="E29" s="432">
        <v>2456.4128099999998</v>
      </c>
      <c r="F29" s="431">
        <v>16.89</v>
      </c>
      <c r="G29" s="428">
        <f t="shared" si="0"/>
        <v>41488.81</v>
      </c>
      <c r="H29" s="429"/>
      <c r="I29" s="428"/>
      <c r="J29" s="429"/>
      <c r="K29" s="428"/>
      <c r="L29" s="429"/>
      <c r="M29" s="428"/>
      <c r="N29" s="430">
        <v>24.78</v>
      </c>
      <c r="O29" s="491">
        <f t="shared" si="1"/>
        <v>60869.91</v>
      </c>
      <c r="P29" s="490">
        <v>0</v>
      </c>
      <c r="Q29" s="428">
        <f t="shared" si="2"/>
        <v>0</v>
      </c>
      <c r="R29" s="427"/>
      <c r="S29" s="426">
        <f t="shared" si="3"/>
        <v>0</v>
      </c>
      <c r="T29" s="425">
        <f t="shared" si="4"/>
        <v>0</v>
      </c>
      <c r="U29" s="489">
        <f t="shared" si="5"/>
        <v>0</v>
      </c>
      <c r="V29" s="488">
        <f t="shared" si="6"/>
        <v>0</v>
      </c>
      <c r="W29" s="423">
        <f t="shared" si="7"/>
        <v>24.78</v>
      </c>
      <c r="X29" s="422">
        <f t="shared" si="8"/>
        <v>60869.91</v>
      </c>
      <c r="Y29" s="421">
        <f t="shared" si="10"/>
        <v>1</v>
      </c>
      <c r="Z29" s="331"/>
    </row>
    <row r="30" spans="2:27">
      <c r="B30" s="435">
        <f t="shared" si="9"/>
        <v>15</v>
      </c>
      <c r="C30" s="434" t="s">
        <v>47</v>
      </c>
      <c r="D30" s="433" t="s">
        <v>48</v>
      </c>
      <c r="E30" s="432">
        <v>69.599699999999999</v>
      </c>
      <c r="F30" s="431">
        <v>714</v>
      </c>
      <c r="G30" s="428">
        <f t="shared" si="0"/>
        <v>49694.19</v>
      </c>
      <c r="H30" s="429"/>
      <c r="I30" s="428"/>
      <c r="J30" s="429"/>
      <c r="K30" s="428"/>
      <c r="L30" s="429"/>
      <c r="M30" s="428"/>
      <c r="N30" s="430">
        <v>0</v>
      </c>
      <c r="O30" s="491">
        <f t="shared" si="1"/>
        <v>0</v>
      </c>
      <c r="P30" s="490">
        <v>0</v>
      </c>
      <c r="Q30" s="428">
        <f t="shared" si="2"/>
        <v>0</v>
      </c>
      <c r="R30" s="427"/>
      <c r="S30" s="426">
        <f t="shared" si="3"/>
        <v>0</v>
      </c>
      <c r="T30" s="425">
        <f t="shared" si="4"/>
        <v>0</v>
      </c>
      <c r="U30" s="489">
        <f t="shared" si="5"/>
        <v>0</v>
      </c>
      <c r="V30" s="488">
        <f t="shared" si="6"/>
        <v>0</v>
      </c>
      <c r="W30" s="423">
        <f t="shared" si="7"/>
        <v>0</v>
      </c>
      <c r="X30" s="422">
        <f t="shared" si="8"/>
        <v>0</v>
      </c>
      <c r="Y30" s="421">
        <v>0</v>
      </c>
      <c r="Z30" s="331"/>
      <c r="AA30" s="358"/>
    </row>
    <row r="31" spans="2:27" ht="13.5" thickBot="1">
      <c r="B31" s="435">
        <f t="shared" si="9"/>
        <v>16</v>
      </c>
      <c r="C31" s="434" t="s">
        <v>126</v>
      </c>
      <c r="D31" s="433" t="s">
        <v>53</v>
      </c>
      <c r="E31" s="432">
        <v>2566.9602100000002</v>
      </c>
      <c r="F31" s="431">
        <v>1</v>
      </c>
      <c r="G31" s="428">
        <f t="shared" si="0"/>
        <v>2566.96</v>
      </c>
      <c r="H31" s="429"/>
      <c r="I31" s="428"/>
      <c r="J31" s="429"/>
      <c r="K31" s="428"/>
      <c r="L31" s="429"/>
      <c r="M31" s="428"/>
      <c r="N31" s="430">
        <v>1</v>
      </c>
      <c r="O31" s="491">
        <f t="shared" si="1"/>
        <v>2566.96</v>
      </c>
      <c r="P31" s="490">
        <v>0</v>
      </c>
      <c r="Q31" s="428">
        <f t="shared" si="2"/>
        <v>0</v>
      </c>
      <c r="R31" s="427">
        <v>1</v>
      </c>
      <c r="S31" s="426">
        <f t="shared" si="3"/>
        <v>2566.96</v>
      </c>
      <c r="T31" s="425">
        <f t="shared" si="4"/>
        <v>1</v>
      </c>
      <c r="U31" s="489">
        <f t="shared" si="5"/>
        <v>2566.96</v>
      </c>
      <c r="V31" s="488">
        <f t="shared" si="6"/>
        <v>1</v>
      </c>
      <c r="W31" s="423">
        <f t="shared" si="7"/>
        <v>0</v>
      </c>
      <c r="X31" s="422">
        <f t="shared" si="8"/>
        <v>0</v>
      </c>
      <c r="Y31" s="421">
        <f t="shared" ref="Y31:Y40" si="11">+X31/O31</f>
        <v>0</v>
      </c>
      <c r="Z31" s="331"/>
    </row>
    <row r="32" spans="2:27" ht="13.5" thickBot="1">
      <c r="B32" s="470" t="s">
        <v>739</v>
      </c>
      <c r="C32" s="469" t="s">
        <v>113</v>
      </c>
      <c r="D32" s="497"/>
      <c r="E32" s="466"/>
      <c r="F32" s="465"/>
      <c r="G32" s="459">
        <f>SUM(G33:G37)</f>
        <v>47806.75</v>
      </c>
      <c r="H32" s="464"/>
      <c r="I32" s="459">
        <f>SUM(I33:I37)</f>
        <v>0</v>
      </c>
      <c r="J32" s="464"/>
      <c r="K32" s="459">
        <f>SUM(K33:K37)</f>
        <v>0</v>
      </c>
      <c r="L32" s="464"/>
      <c r="M32" s="459">
        <f>SUM(M33:M37)</f>
        <v>0</v>
      </c>
      <c r="N32" s="465"/>
      <c r="O32" s="459">
        <f>SUM(O33:O37)</f>
        <v>47806.75</v>
      </c>
      <c r="P32" s="496"/>
      <c r="Q32" s="459">
        <f>SUM(Q33:Q37)</f>
        <v>0</v>
      </c>
      <c r="R32" s="464"/>
      <c r="S32" s="459">
        <f>SUM(S33:S37)</f>
        <v>0</v>
      </c>
      <c r="T32" s="462"/>
      <c r="U32" s="459">
        <f>SUM(U33:U37)</f>
        <v>0</v>
      </c>
      <c r="V32" s="495"/>
      <c r="W32" s="465"/>
      <c r="X32" s="459">
        <f>SUM(X33:X37)</f>
        <v>47806.75</v>
      </c>
      <c r="Y32" s="500">
        <f t="shared" si="11"/>
        <v>1</v>
      </c>
      <c r="Z32" s="331"/>
    </row>
    <row r="33" spans="2:26">
      <c r="B33" s="457">
        <v>17</v>
      </c>
      <c r="C33" s="456" t="s">
        <v>54</v>
      </c>
      <c r="D33" s="455" t="s">
        <v>49</v>
      </c>
      <c r="E33" s="454">
        <v>11.116379999999999</v>
      </c>
      <c r="F33" s="499">
        <v>1000</v>
      </c>
      <c r="G33" s="450">
        <f>ROUND(E33*F33,2)</f>
        <v>11116.38</v>
      </c>
      <c r="H33" s="451"/>
      <c r="I33" s="450">
        <f>ROUND(E33*H33,2)</f>
        <v>0</v>
      </c>
      <c r="J33" s="451"/>
      <c r="K33" s="450">
        <f>ROUND(E33*J33,2)</f>
        <v>0</v>
      </c>
      <c r="L33" s="451"/>
      <c r="M33" s="450">
        <f>ROUND(E33*L33,2)</f>
        <v>0</v>
      </c>
      <c r="N33" s="452">
        <v>1000</v>
      </c>
      <c r="O33" s="494">
        <f>ROUND(N33*E33,2)</f>
        <v>11116.38</v>
      </c>
      <c r="P33" s="493"/>
      <c r="Q33" s="450">
        <f>ROUND(E33*P33,2)</f>
        <v>0</v>
      </c>
      <c r="R33" s="449"/>
      <c r="S33" s="448">
        <f>ROUND(E33*R33,2)</f>
        <v>0</v>
      </c>
      <c r="T33" s="447">
        <f>P33+R33</f>
        <v>0</v>
      </c>
      <c r="U33" s="492">
        <f>ROUND(E33*T33,2)</f>
        <v>0</v>
      </c>
      <c r="V33" s="446">
        <f>IF(N33&lt;=0,0,T33/N33)</f>
        <v>0</v>
      </c>
      <c r="W33" s="445">
        <f>N33-T33</f>
        <v>1000</v>
      </c>
      <c r="X33" s="444">
        <f>ROUND(E33*W33,2)</f>
        <v>11116.38</v>
      </c>
      <c r="Y33" s="443">
        <f t="shared" si="11"/>
        <v>1</v>
      </c>
      <c r="Z33" s="331"/>
    </row>
    <row r="34" spans="2:26">
      <c r="B34" s="435">
        <f>B33+1</f>
        <v>18</v>
      </c>
      <c r="C34" s="434" t="s">
        <v>263</v>
      </c>
      <c r="D34" s="433" t="s">
        <v>49</v>
      </c>
      <c r="E34" s="432">
        <v>9.2234700000000007</v>
      </c>
      <c r="F34" s="498">
        <v>2000</v>
      </c>
      <c r="G34" s="428">
        <f>ROUND(E34*F34,2)</f>
        <v>18446.939999999999</v>
      </c>
      <c r="H34" s="429"/>
      <c r="I34" s="428">
        <f>ROUND(E34*H34,2)</f>
        <v>0</v>
      </c>
      <c r="J34" s="429"/>
      <c r="K34" s="428">
        <f>ROUND(E34*J34,2)</f>
        <v>0</v>
      </c>
      <c r="L34" s="429"/>
      <c r="M34" s="428">
        <f>ROUND(E34*L34,2)</f>
        <v>0</v>
      </c>
      <c r="N34" s="430">
        <v>2000</v>
      </c>
      <c r="O34" s="491">
        <f>ROUND(N34*E34,2)</f>
        <v>18446.939999999999</v>
      </c>
      <c r="P34" s="490"/>
      <c r="Q34" s="428">
        <f>ROUND(E34*P34,2)</f>
        <v>0</v>
      </c>
      <c r="R34" s="427"/>
      <c r="S34" s="426">
        <f>ROUND(E34*R34,2)</f>
        <v>0</v>
      </c>
      <c r="T34" s="425">
        <f>P34+R34</f>
        <v>0</v>
      </c>
      <c r="U34" s="489">
        <f>ROUND(E34*T34,2)</f>
        <v>0</v>
      </c>
      <c r="V34" s="488">
        <f>IF(N34&lt;=0,0,T34/N34)</f>
        <v>0</v>
      </c>
      <c r="W34" s="423">
        <f>N34-T34</f>
        <v>2000</v>
      </c>
      <c r="X34" s="422">
        <f>ROUND(E34*W34,2)</f>
        <v>18446.939999999999</v>
      </c>
      <c r="Y34" s="421">
        <f t="shared" si="11"/>
        <v>1</v>
      </c>
      <c r="Z34" s="331"/>
    </row>
    <row r="35" spans="2:26">
      <c r="B35" s="435">
        <f>B34+1</f>
        <v>19</v>
      </c>
      <c r="C35" s="434" t="s">
        <v>55</v>
      </c>
      <c r="D35" s="433" t="s">
        <v>51</v>
      </c>
      <c r="E35" s="432">
        <v>16.716159999999999</v>
      </c>
      <c r="F35" s="498">
        <v>500</v>
      </c>
      <c r="G35" s="428">
        <f>ROUND(E35*F35,2)</f>
        <v>8358.08</v>
      </c>
      <c r="H35" s="429"/>
      <c r="I35" s="428">
        <f>ROUND(E35*H35,2)</f>
        <v>0</v>
      </c>
      <c r="J35" s="429"/>
      <c r="K35" s="428">
        <f>ROUND(E35*J35,2)</f>
        <v>0</v>
      </c>
      <c r="L35" s="429"/>
      <c r="M35" s="428">
        <f>ROUND(E35*L35,2)</f>
        <v>0</v>
      </c>
      <c r="N35" s="430">
        <v>500</v>
      </c>
      <c r="O35" s="491">
        <f>ROUND(N35*E35,2)</f>
        <v>8358.08</v>
      </c>
      <c r="P35" s="490"/>
      <c r="Q35" s="428">
        <f>ROUND(E35*P35,2)</f>
        <v>0</v>
      </c>
      <c r="R35" s="427"/>
      <c r="S35" s="426">
        <f>ROUND(E35*R35,2)</f>
        <v>0</v>
      </c>
      <c r="T35" s="425">
        <f>P35+R35</f>
        <v>0</v>
      </c>
      <c r="U35" s="489">
        <f>ROUND(E35*T35,2)</f>
        <v>0</v>
      </c>
      <c r="V35" s="488">
        <f>IF(N35&lt;=0,0,T35/N35)</f>
        <v>0</v>
      </c>
      <c r="W35" s="423">
        <f>N35-T35</f>
        <v>500</v>
      </c>
      <c r="X35" s="422">
        <f>ROUND(E35*W35,2)</f>
        <v>8358.08</v>
      </c>
      <c r="Y35" s="421">
        <f t="shared" si="11"/>
        <v>1</v>
      </c>
      <c r="Z35" s="331"/>
    </row>
    <row r="36" spans="2:26">
      <c r="B36" s="435">
        <f>B35+1</f>
        <v>20</v>
      </c>
      <c r="C36" s="434" t="s">
        <v>264</v>
      </c>
      <c r="D36" s="433" t="s">
        <v>51</v>
      </c>
      <c r="E36" s="432">
        <v>12.27317</v>
      </c>
      <c r="F36" s="498">
        <v>250</v>
      </c>
      <c r="G36" s="428">
        <f>ROUND(E36*F36,2)</f>
        <v>3068.29</v>
      </c>
      <c r="H36" s="429"/>
      <c r="I36" s="428">
        <f>ROUND(E36*H36,2)</f>
        <v>0</v>
      </c>
      <c r="J36" s="429"/>
      <c r="K36" s="428">
        <f>ROUND(E36*J36,2)</f>
        <v>0</v>
      </c>
      <c r="L36" s="429"/>
      <c r="M36" s="428">
        <f>ROUND(E36*L36,2)</f>
        <v>0</v>
      </c>
      <c r="N36" s="430">
        <v>250</v>
      </c>
      <c r="O36" s="491">
        <f>ROUND(N36*E36,2)</f>
        <v>3068.29</v>
      </c>
      <c r="P36" s="490"/>
      <c r="Q36" s="428">
        <f>ROUND(E36*P36,2)</f>
        <v>0</v>
      </c>
      <c r="R36" s="427"/>
      <c r="S36" s="426">
        <f>ROUND(E36*R36,2)</f>
        <v>0</v>
      </c>
      <c r="T36" s="425">
        <f>P36+R36</f>
        <v>0</v>
      </c>
      <c r="U36" s="489">
        <f>ROUND(E36*T36,2)</f>
        <v>0</v>
      </c>
      <c r="V36" s="488">
        <f>IF(N36&lt;=0,0,T36/N36)</f>
        <v>0</v>
      </c>
      <c r="W36" s="423">
        <f>N36-T36</f>
        <v>250</v>
      </c>
      <c r="X36" s="422">
        <f>ROUND(E36*W36,2)</f>
        <v>3068.29</v>
      </c>
      <c r="Y36" s="421">
        <f t="shared" si="11"/>
        <v>1</v>
      </c>
      <c r="Z36" s="331"/>
    </row>
    <row r="37" spans="2:26" ht="13.5" thickBot="1">
      <c r="B37" s="435">
        <f>B36+1</f>
        <v>21</v>
      </c>
      <c r="C37" s="434" t="s">
        <v>265</v>
      </c>
      <c r="D37" s="433" t="s">
        <v>49</v>
      </c>
      <c r="E37" s="432">
        <v>34.085290000000001</v>
      </c>
      <c r="F37" s="498">
        <v>200</v>
      </c>
      <c r="G37" s="428">
        <f>ROUND(E37*F37,2)</f>
        <v>6817.06</v>
      </c>
      <c r="H37" s="429"/>
      <c r="I37" s="428">
        <f>ROUND(E37*H37,2)</f>
        <v>0</v>
      </c>
      <c r="J37" s="429"/>
      <c r="K37" s="428">
        <f>ROUND(E37*J37,2)</f>
        <v>0</v>
      </c>
      <c r="L37" s="429"/>
      <c r="M37" s="428">
        <f>ROUND(E37*L37,2)</f>
        <v>0</v>
      </c>
      <c r="N37" s="430">
        <v>200</v>
      </c>
      <c r="O37" s="491">
        <f>ROUND(N37*E37,2)</f>
        <v>6817.06</v>
      </c>
      <c r="P37" s="490"/>
      <c r="Q37" s="428">
        <f>ROUND(E37*P37,2)</f>
        <v>0</v>
      </c>
      <c r="R37" s="427"/>
      <c r="S37" s="426">
        <f>ROUND(E37*R37,2)</f>
        <v>0</v>
      </c>
      <c r="T37" s="425">
        <f>P37+R37</f>
        <v>0</v>
      </c>
      <c r="U37" s="489">
        <f>ROUND(E37*T37,2)</f>
        <v>0</v>
      </c>
      <c r="V37" s="488">
        <f>IF(N37&lt;=0,0,T37/N37)</f>
        <v>0</v>
      </c>
      <c r="W37" s="423">
        <f>N37-T37</f>
        <v>200</v>
      </c>
      <c r="X37" s="422">
        <f>ROUND(E37*W37,2)</f>
        <v>6817.06</v>
      </c>
      <c r="Y37" s="421">
        <f t="shared" si="11"/>
        <v>1</v>
      </c>
      <c r="Z37" s="358"/>
    </row>
    <row r="38" spans="2:26" ht="13.5" thickBot="1">
      <c r="B38" s="470" t="s">
        <v>739</v>
      </c>
      <c r="C38" s="469" t="s">
        <v>112</v>
      </c>
      <c r="D38" s="497"/>
      <c r="E38" s="466"/>
      <c r="F38" s="465"/>
      <c r="G38" s="459">
        <f>SUM(G39:G44)</f>
        <v>6523.35</v>
      </c>
      <c r="H38" s="464"/>
      <c r="I38" s="459">
        <f>SUM(I39:I44)</f>
        <v>0</v>
      </c>
      <c r="J38" s="464"/>
      <c r="K38" s="459">
        <f>SUM(K39:K44)</f>
        <v>0</v>
      </c>
      <c r="L38" s="464"/>
      <c r="M38" s="459">
        <f>SUM(M39:M44)</f>
        <v>0</v>
      </c>
      <c r="N38" s="465"/>
      <c r="O38" s="459">
        <f>SUM(O39:O44)</f>
        <v>6523.35</v>
      </c>
      <c r="P38" s="496"/>
      <c r="Q38" s="459">
        <f>SUM(Q39:Q44)</f>
        <v>0</v>
      </c>
      <c r="R38" s="464"/>
      <c r="S38" s="459">
        <f>SUM(S39:S44)</f>
        <v>0</v>
      </c>
      <c r="T38" s="462"/>
      <c r="U38" s="459">
        <f>SUM(U39:U44)</f>
        <v>0</v>
      </c>
      <c r="V38" s="495"/>
      <c r="W38" s="465"/>
      <c r="X38" s="459">
        <f>SUM(X39:X44)</f>
        <v>6523.35</v>
      </c>
      <c r="Y38" s="458">
        <f t="shared" si="11"/>
        <v>1</v>
      </c>
      <c r="Z38" s="331"/>
    </row>
    <row r="39" spans="2:26">
      <c r="B39" s="457">
        <v>22</v>
      </c>
      <c r="C39" s="456" t="s">
        <v>266</v>
      </c>
      <c r="D39" s="455" t="s">
        <v>56</v>
      </c>
      <c r="E39" s="454">
        <v>15.822290000000001</v>
      </c>
      <c r="F39" s="453">
        <v>41</v>
      </c>
      <c r="G39" s="450">
        <f t="shared" ref="G39:G44" si="12">ROUND(E39*F39,2)</f>
        <v>648.71</v>
      </c>
      <c r="H39" s="451"/>
      <c r="I39" s="450">
        <f t="shared" ref="I39:I44" si="13">ROUND(E39*H39,2)</f>
        <v>0</v>
      </c>
      <c r="J39" s="451"/>
      <c r="K39" s="450">
        <f t="shared" ref="K39:K44" si="14">ROUND(E39*J39,2)</f>
        <v>0</v>
      </c>
      <c r="L39" s="451"/>
      <c r="M39" s="450">
        <f t="shared" ref="M39:M44" si="15">ROUND(E39*L39,2)</f>
        <v>0</v>
      </c>
      <c r="N39" s="452">
        <v>41</v>
      </c>
      <c r="O39" s="494">
        <f t="shared" ref="O39:O44" si="16">ROUND(N39*E39,2)</f>
        <v>648.71</v>
      </c>
      <c r="P39" s="493"/>
      <c r="Q39" s="450">
        <f t="shared" ref="Q39:Q44" si="17">ROUND(E39*P39,2)</f>
        <v>0</v>
      </c>
      <c r="R39" s="449"/>
      <c r="S39" s="448">
        <f t="shared" ref="S39:S44" si="18">ROUND(E39*R39,2)</f>
        <v>0</v>
      </c>
      <c r="T39" s="447">
        <f t="shared" ref="T39:T44" si="19">P39+R39</f>
        <v>0</v>
      </c>
      <c r="U39" s="492">
        <f t="shared" ref="U39:U44" si="20">ROUND(E39*T39,2)</f>
        <v>0</v>
      </c>
      <c r="V39" s="446">
        <f t="shared" ref="V39:V44" si="21">IF(N39&lt;=0,0,T39/N39)</f>
        <v>0</v>
      </c>
      <c r="W39" s="445">
        <f t="shared" ref="W39:W44" si="22">N39-T39</f>
        <v>41</v>
      </c>
      <c r="X39" s="444">
        <f t="shared" ref="X39:X44" si="23">ROUND(E39*W39,2)</f>
        <v>648.71</v>
      </c>
      <c r="Y39" s="443">
        <f t="shared" si="11"/>
        <v>1</v>
      </c>
      <c r="Z39" s="331"/>
    </row>
    <row r="40" spans="2:26">
      <c r="B40" s="435">
        <f>B39+1</f>
        <v>23</v>
      </c>
      <c r="C40" s="434" t="s">
        <v>267</v>
      </c>
      <c r="D40" s="433" t="s">
        <v>56</v>
      </c>
      <c r="E40" s="432">
        <v>9.7754600000000007</v>
      </c>
      <c r="F40" s="431">
        <v>29</v>
      </c>
      <c r="G40" s="428">
        <f t="shared" si="12"/>
        <v>283.49</v>
      </c>
      <c r="H40" s="429"/>
      <c r="I40" s="428">
        <f t="shared" si="13"/>
        <v>0</v>
      </c>
      <c r="J40" s="429"/>
      <c r="K40" s="428">
        <f t="shared" si="14"/>
        <v>0</v>
      </c>
      <c r="L40" s="429"/>
      <c r="M40" s="428">
        <f t="shared" si="15"/>
        <v>0</v>
      </c>
      <c r="N40" s="430">
        <v>29</v>
      </c>
      <c r="O40" s="491">
        <f t="shared" si="16"/>
        <v>283.49</v>
      </c>
      <c r="P40" s="490"/>
      <c r="Q40" s="428">
        <f t="shared" si="17"/>
        <v>0</v>
      </c>
      <c r="R40" s="427"/>
      <c r="S40" s="426">
        <f t="shared" si="18"/>
        <v>0</v>
      </c>
      <c r="T40" s="425">
        <f t="shared" si="19"/>
        <v>0</v>
      </c>
      <c r="U40" s="489">
        <f t="shared" si="20"/>
        <v>0</v>
      </c>
      <c r="V40" s="488">
        <f t="shared" si="21"/>
        <v>0</v>
      </c>
      <c r="W40" s="423">
        <f t="shared" si="22"/>
        <v>29</v>
      </c>
      <c r="X40" s="422">
        <f t="shared" si="23"/>
        <v>283.49</v>
      </c>
      <c r="Y40" s="421">
        <f t="shared" si="11"/>
        <v>1</v>
      </c>
      <c r="Z40" s="331"/>
    </row>
    <row r="41" spans="2:26">
      <c r="B41" s="435">
        <f>B40+1</f>
        <v>24</v>
      </c>
      <c r="C41" s="434" t="s">
        <v>268</v>
      </c>
      <c r="D41" s="433" t="s">
        <v>56</v>
      </c>
      <c r="E41" s="432">
        <v>9.7754600000000007</v>
      </c>
      <c r="F41" s="431">
        <v>10</v>
      </c>
      <c r="G41" s="428">
        <f t="shared" si="12"/>
        <v>97.75</v>
      </c>
      <c r="H41" s="429"/>
      <c r="I41" s="428">
        <f t="shared" si="13"/>
        <v>0</v>
      </c>
      <c r="J41" s="429"/>
      <c r="K41" s="428">
        <f t="shared" si="14"/>
        <v>0</v>
      </c>
      <c r="L41" s="429"/>
      <c r="M41" s="428">
        <f t="shared" si="15"/>
        <v>0</v>
      </c>
      <c r="N41" s="430">
        <v>10</v>
      </c>
      <c r="O41" s="491">
        <f t="shared" si="16"/>
        <v>97.75</v>
      </c>
      <c r="P41" s="490"/>
      <c r="Q41" s="428">
        <f t="shared" si="17"/>
        <v>0</v>
      </c>
      <c r="R41" s="427"/>
      <c r="S41" s="426">
        <f t="shared" si="18"/>
        <v>0</v>
      </c>
      <c r="T41" s="425">
        <f t="shared" si="19"/>
        <v>0</v>
      </c>
      <c r="U41" s="489">
        <f t="shared" si="20"/>
        <v>0</v>
      </c>
      <c r="V41" s="488">
        <f t="shared" si="21"/>
        <v>0</v>
      </c>
      <c r="W41" s="423">
        <f t="shared" si="22"/>
        <v>10</v>
      </c>
      <c r="X41" s="422">
        <f t="shared" si="23"/>
        <v>97.75</v>
      </c>
      <c r="Y41" s="421">
        <v>0</v>
      </c>
      <c r="Z41" s="331"/>
    </row>
    <row r="42" spans="2:26">
      <c r="B42" s="435">
        <f>B41+1</f>
        <v>25</v>
      </c>
      <c r="C42" s="434" t="s">
        <v>269</v>
      </c>
      <c r="D42" s="433" t="s">
        <v>56</v>
      </c>
      <c r="E42" s="432">
        <v>9.7754600000000007</v>
      </c>
      <c r="F42" s="431">
        <v>6</v>
      </c>
      <c r="G42" s="428">
        <f t="shared" si="12"/>
        <v>58.65</v>
      </c>
      <c r="H42" s="429"/>
      <c r="I42" s="428">
        <f t="shared" si="13"/>
        <v>0</v>
      </c>
      <c r="J42" s="429"/>
      <c r="K42" s="428">
        <f t="shared" si="14"/>
        <v>0</v>
      </c>
      <c r="L42" s="429"/>
      <c r="M42" s="428">
        <f t="shared" si="15"/>
        <v>0</v>
      </c>
      <c r="N42" s="430">
        <v>6</v>
      </c>
      <c r="O42" s="491">
        <f t="shared" si="16"/>
        <v>58.65</v>
      </c>
      <c r="P42" s="490"/>
      <c r="Q42" s="428">
        <f t="shared" si="17"/>
        <v>0</v>
      </c>
      <c r="R42" s="427"/>
      <c r="S42" s="426">
        <f t="shared" si="18"/>
        <v>0</v>
      </c>
      <c r="T42" s="425">
        <f t="shared" si="19"/>
        <v>0</v>
      </c>
      <c r="U42" s="489">
        <f t="shared" si="20"/>
        <v>0</v>
      </c>
      <c r="V42" s="488">
        <f t="shared" si="21"/>
        <v>0</v>
      </c>
      <c r="W42" s="423">
        <f t="shared" si="22"/>
        <v>6</v>
      </c>
      <c r="X42" s="422">
        <f t="shared" si="23"/>
        <v>58.65</v>
      </c>
      <c r="Y42" s="421">
        <f>+X42/O42</f>
        <v>1</v>
      </c>
      <c r="Z42" s="331"/>
    </row>
    <row r="43" spans="2:26">
      <c r="B43" s="435">
        <f>B42+1</f>
        <v>26</v>
      </c>
      <c r="C43" s="434" t="s">
        <v>270</v>
      </c>
      <c r="D43" s="433" t="s">
        <v>56</v>
      </c>
      <c r="E43" s="432">
        <v>15.822290000000001</v>
      </c>
      <c r="F43" s="431">
        <v>6</v>
      </c>
      <c r="G43" s="428">
        <f t="shared" si="12"/>
        <v>94.93</v>
      </c>
      <c r="H43" s="429"/>
      <c r="I43" s="428">
        <f t="shared" si="13"/>
        <v>0</v>
      </c>
      <c r="J43" s="429"/>
      <c r="K43" s="428">
        <f t="shared" si="14"/>
        <v>0</v>
      </c>
      <c r="L43" s="429"/>
      <c r="M43" s="428">
        <f t="shared" si="15"/>
        <v>0</v>
      </c>
      <c r="N43" s="430">
        <v>6</v>
      </c>
      <c r="O43" s="491">
        <f t="shared" si="16"/>
        <v>94.93</v>
      </c>
      <c r="P43" s="490"/>
      <c r="Q43" s="428">
        <f t="shared" si="17"/>
        <v>0</v>
      </c>
      <c r="R43" s="427"/>
      <c r="S43" s="426">
        <f t="shared" si="18"/>
        <v>0</v>
      </c>
      <c r="T43" s="425">
        <f t="shared" si="19"/>
        <v>0</v>
      </c>
      <c r="U43" s="489">
        <f t="shared" si="20"/>
        <v>0</v>
      </c>
      <c r="V43" s="488">
        <f t="shared" si="21"/>
        <v>0</v>
      </c>
      <c r="W43" s="423">
        <f t="shared" si="22"/>
        <v>6</v>
      </c>
      <c r="X43" s="422">
        <f t="shared" si="23"/>
        <v>94.93</v>
      </c>
      <c r="Y43" s="421">
        <f>+X43/O43</f>
        <v>1</v>
      </c>
      <c r="Z43" s="331"/>
    </row>
    <row r="44" spans="2:26" ht="13.5" thickBot="1">
      <c r="B44" s="420">
        <f>B43+1</f>
        <v>27</v>
      </c>
      <c r="C44" s="419" t="s">
        <v>271</v>
      </c>
      <c r="D44" s="418" t="s">
        <v>51</v>
      </c>
      <c r="E44" s="417">
        <v>140.52149</v>
      </c>
      <c r="F44" s="416">
        <v>38</v>
      </c>
      <c r="G44" s="413">
        <f t="shared" si="12"/>
        <v>5339.82</v>
      </c>
      <c r="H44" s="414"/>
      <c r="I44" s="413">
        <f t="shared" si="13"/>
        <v>0</v>
      </c>
      <c r="J44" s="414"/>
      <c r="K44" s="413">
        <f t="shared" si="14"/>
        <v>0</v>
      </c>
      <c r="L44" s="414"/>
      <c r="M44" s="413">
        <f t="shared" si="15"/>
        <v>0</v>
      </c>
      <c r="N44" s="415">
        <v>38</v>
      </c>
      <c r="O44" s="487">
        <f t="shared" si="16"/>
        <v>5339.82</v>
      </c>
      <c r="P44" s="486"/>
      <c r="Q44" s="413">
        <f t="shared" si="17"/>
        <v>0</v>
      </c>
      <c r="R44" s="412"/>
      <c r="S44" s="411">
        <f t="shared" si="18"/>
        <v>0</v>
      </c>
      <c r="T44" s="410">
        <f t="shared" si="19"/>
        <v>0</v>
      </c>
      <c r="U44" s="485">
        <f t="shared" si="20"/>
        <v>0</v>
      </c>
      <c r="V44" s="484">
        <f t="shared" si="21"/>
        <v>0</v>
      </c>
      <c r="W44" s="408">
        <f t="shared" si="22"/>
        <v>38</v>
      </c>
      <c r="X44" s="407">
        <f t="shared" si="23"/>
        <v>5339.82</v>
      </c>
      <c r="Y44" s="406">
        <f>+X44/O44</f>
        <v>1</v>
      </c>
      <c r="Z44" s="331"/>
    </row>
    <row r="45" spans="2:26" ht="13.5" thickBot="1">
      <c r="B45" s="483"/>
      <c r="C45" s="482" t="s">
        <v>57</v>
      </c>
      <c r="D45" s="481"/>
      <c r="E45" s="480"/>
      <c r="F45" s="476"/>
      <c r="G45" s="477"/>
      <c r="H45" s="478"/>
      <c r="I45" s="477"/>
      <c r="J45" s="478"/>
      <c r="K45" s="477"/>
      <c r="L45" s="478"/>
      <c r="M45" s="477"/>
      <c r="N45" s="479"/>
      <c r="O45" s="472"/>
      <c r="P45" s="478"/>
      <c r="Q45" s="477"/>
      <c r="R45" s="476"/>
      <c r="S45" s="472"/>
      <c r="T45" s="475"/>
      <c r="U45" s="472"/>
      <c r="V45" s="474"/>
      <c r="W45" s="473"/>
      <c r="X45" s="472"/>
      <c r="Y45" s="471"/>
      <c r="Z45" s="331"/>
    </row>
    <row r="46" spans="2:26" ht="13.5" thickBot="1">
      <c r="B46" s="470" t="s">
        <v>739</v>
      </c>
      <c r="C46" s="469" t="s">
        <v>114</v>
      </c>
      <c r="D46" s="468"/>
      <c r="E46" s="467"/>
      <c r="F46" s="463"/>
      <c r="G46" s="459">
        <f>SUM(G47:G50)</f>
        <v>0</v>
      </c>
      <c r="H46" s="464"/>
      <c r="I46" s="466"/>
      <c r="J46" s="464"/>
      <c r="K46" s="466"/>
      <c r="L46" s="464"/>
      <c r="M46" s="466"/>
      <c r="N46" s="465"/>
      <c r="O46" s="459">
        <f>SUM(O47:O50)</f>
        <v>79087.22</v>
      </c>
      <c r="P46" s="464"/>
      <c r="Q46" s="459">
        <f>SUM(Q47:Q50)</f>
        <v>79087.22</v>
      </c>
      <c r="R46" s="463"/>
      <c r="S46" s="459">
        <f>SUM(S47:S50)</f>
        <v>0</v>
      </c>
      <c r="T46" s="462"/>
      <c r="U46" s="459">
        <f>SUM(U47:U50)</f>
        <v>79087.22</v>
      </c>
      <c r="V46" s="461"/>
      <c r="W46" s="460"/>
      <c r="X46" s="459">
        <f>SUM(X47:X50)</f>
        <v>0</v>
      </c>
      <c r="Y46" s="458">
        <f>+X46/O46</f>
        <v>0</v>
      </c>
      <c r="Z46" s="331"/>
    </row>
    <row r="47" spans="2:26">
      <c r="B47" s="457">
        <v>28</v>
      </c>
      <c r="C47" s="456" t="s">
        <v>91</v>
      </c>
      <c r="D47" s="455" t="s">
        <v>48</v>
      </c>
      <c r="E47" s="454">
        <v>155</v>
      </c>
      <c r="F47" s="453"/>
      <c r="G47" s="450"/>
      <c r="H47" s="451"/>
      <c r="I47" s="450"/>
      <c r="J47" s="451"/>
      <c r="K47" s="450"/>
      <c r="L47" s="451"/>
      <c r="M47" s="450"/>
      <c r="N47" s="452">
        <v>7.58</v>
      </c>
      <c r="O47" s="452">
        <f>ROUND(N47*E47,2)</f>
        <v>1174.9000000000001</v>
      </c>
      <c r="P47" s="451">
        <v>7.58</v>
      </c>
      <c r="Q47" s="450">
        <f>ROUND(E47*P47,2)</f>
        <v>1174.9000000000001</v>
      </c>
      <c r="R47" s="449"/>
      <c r="S47" s="448">
        <f>ROUND(E47*R47,2)</f>
        <v>0</v>
      </c>
      <c r="T47" s="447">
        <f>P47+R47</f>
        <v>7.58</v>
      </c>
      <c r="U47" s="444">
        <f>ROUND(E47*T47,2)</f>
        <v>1174.9000000000001</v>
      </c>
      <c r="V47" s="446">
        <f>IF(N47&lt;=0,0,T47/N47)</f>
        <v>1</v>
      </c>
      <c r="W47" s="445">
        <f>N47-T47</f>
        <v>0</v>
      </c>
      <c r="X47" s="444">
        <f>ROUND(E47*W47,2)</f>
        <v>0</v>
      </c>
      <c r="Y47" s="443">
        <f>+X47/O47</f>
        <v>0</v>
      </c>
      <c r="Z47" s="331"/>
    </row>
    <row r="48" spans="2:26">
      <c r="B48" s="435">
        <f>B47+1</f>
        <v>29</v>
      </c>
      <c r="C48" s="434" t="s">
        <v>106</v>
      </c>
      <c r="D48" s="433" t="s">
        <v>48</v>
      </c>
      <c r="E48" s="432">
        <v>237.34</v>
      </c>
      <c r="F48" s="431"/>
      <c r="G48" s="428"/>
      <c r="H48" s="429"/>
      <c r="I48" s="428"/>
      <c r="J48" s="429"/>
      <c r="K48" s="428"/>
      <c r="L48" s="429"/>
      <c r="M48" s="428"/>
      <c r="N48" s="430">
        <v>157.94999999999999</v>
      </c>
      <c r="O48" s="430">
        <f>ROUND(N48*E48,2)</f>
        <v>37487.85</v>
      </c>
      <c r="P48" s="429">
        <v>157.94999999999999</v>
      </c>
      <c r="Q48" s="442">
        <f>ROUND(E48*P48,2)</f>
        <v>37487.85</v>
      </c>
      <c r="R48" s="427"/>
      <c r="S48" s="441">
        <f>ROUND(E48*R48,2)</f>
        <v>0</v>
      </c>
      <c r="T48" s="440">
        <f>P48+R48</f>
        <v>157.94999999999999</v>
      </c>
      <c r="U48" s="437">
        <f>ROUND(E48*T48,2)</f>
        <v>37487.85</v>
      </c>
      <c r="V48" s="439">
        <f>IF(N48&lt;=0,0,T48/N48)</f>
        <v>1</v>
      </c>
      <c r="W48" s="438">
        <f>N48-T48</f>
        <v>0</v>
      </c>
      <c r="X48" s="437">
        <f>ROUND(E48*W48,2)</f>
        <v>0</v>
      </c>
      <c r="Y48" s="436">
        <f>+X48/O48</f>
        <v>0</v>
      </c>
      <c r="Z48" s="331"/>
    </row>
    <row r="49" spans="2:26">
      <c r="B49" s="435">
        <f>B48+1</f>
        <v>30</v>
      </c>
      <c r="C49" s="434" t="s">
        <v>111</v>
      </c>
      <c r="D49" s="433" t="s">
        <v>51</v>
      </c>
      <c r="E49" s="432">
        <v>642.9</v>
      </c>
      <c r="F49" s="431"/>
      <c r="G49" s="428"/>
      <c r="H49" s="429"/>
      <c r="I49" s="428"/>
      <c r="J49" s="429"/>
      <c r="K49" s="428"/>
      <c r="L49" s="429"/>
      <c r="M49" s="428"/>
      <c r="N49" s="430">
        <v>24</v>
      </c>
      <c r="O49" s="430">
        <f>ROUND(N49*E49,2)</f>
        <v>15429.6</v>
      </c>
      <c r="P49" s="429">
        <v>24</v>
      </c>
      <c r="Q49" s="428">
        <f>ROUND(E49*P49,2)</f>
        <v>15429.6</v>
      </c>
      <c r="R49" s="427"/>
      <c r="S49" s="426">
        <f>ROUND(E49*R49,2)</f>
        <v>0</v>
      </c>
      <c r="T49" s="425">
        <f>P49+R49</f>
        <v>24</v>
      </c>
      <c r="U49" s="422">
        <f>ROUND(E49*T49,2)</f>
        <v>15429.6</v>
      </c>
      <c r="V49" s="424">
        <f>IF(N49&lt;=0,0,T49/N49)</f>
        <v>1</v>
      </c>
      <c r="W49" s="423">
        <f>N49-T49</f>
        <v>0</v>
      </c>
      <c r="X49" s="422">
        <f>ROUND(E49*W49,2)</f>
        <v>0</v>
      </c>
      <c r="Y49" s="421">
        <f>+X49/O49</f>
        <v>0</v>
      </c>
      <c r="Z49" s="331"/>
    </row>
    <row r="50" spans="2:26" ht="13.5" thickBot="1">
      <c r="B50" s="420">
        <f>B49+1</f>
        <v>31</v>
      </c>
      <c r="C50" s="419" t="s">
        <v>115</v>
      </c>
      <c r="D50" s="418" t="s">
        <v>48</v>
      </c>
      <c r="E50" s="417">
        <v>112.15</v>
      </c>
      <c r="F50" s="416"/>
      <c r="G50" s="413"/>
      <c r="H50" s="414"/>
      <c r="I50" s="413"/>
      <c r="J50" s="414"/>
      <c r="K50" s="413"/>
      <c r="L50" s="414"/>
      <c r="M50" s="413"/>
      <c r="N50" s="415">
        <v>222.87</v>
      </c>
      <c r="O50" s="415">
        <f>ROUND(N50*E50,2)</f>
        <v>24994.87</v>
      </c>
      <c r="P50" s="414">
        <v>222.87</v>
      </c>
      <c r="Q50" s="413">
        <f>ROUND(E50*P50,2)</f>
        <v>24994.87</v>
      </c>
      <c r="R50" s="412"/>
      <c r="S50" s="411">
        <f>ROUND(E50*R50,2)</f>
        <v>0</v>
      </c>
      <c r="T50" s="410">
        <f>P50+R50</f>
        <v>222.87</v>
      </c>
      <c r="U50" s="407">
        <f>ROUND(E50*T50,2)</f>
        <v>24994.87</v>
      </c>
      <c r="V50" s="409">
        <f>IF(N50&lt;=0,0,T50/N50)</f>
        <v>1</v>
      </c>
      <c r="W50" s="408">
        <f>N50-T50</f>
        <v>0</v>
      </c>
      <c r="X50" s="407">
        <f>ROUND(E50*W50,2)</f>
        <v>0</v>
      </c>
      <c r="Y50" s="406">
        <f>+X50/O50</f>
        <v>0</v>
      </c>
      <c r="Z50" s="331"/>
    </row>
    <row r="51" spans="2:26" ht="13.5" thickBot="1">
      <c r="B51" s="405"/>
      <c r="C51" s="404"/>
      <c r="D51" s="403"/>
      <c r="E51" s="402" t="s">
        <v>42</v>
      </c>
      <c r="F51" s="332"/>
      <c r="G51" s="396">
        <f>G15+G32+G38+G46+0.02</f>
        <v>3367031.95</v>
      </c>
      <c r="H51" s="353"/>
      <c r="I51" s="401" t="e">
        <f>#REF!</f>
        <v>#REF!</v>
      </c>
      <c r="J51" s="353"/>
      <c r="K51" s="401" t="e">
        <f>#REF!</f>
        <v>#REF!</v>
      </c>
      <c r="L51" s="353"/>
      <c r="M51" s="401" t="e">
        <f>#REF!</f>
        <v>#REF!</v>
      </c>
      <c r="N51" s="353"/>
      <c r="O51" s="396">
        <f>O15+O32+O38+O46+0.02</f>
        <v>3610125.4300000006</v>
      </c>
      <c r="P51" s="400"/>
      <c r="Q51" s="396">
        <f>Q15+Q32+Q38+Q46</f>
        <v>2056555.2799999998</v>
      </c>
      <c r="R51" s="400"/>
      <c r="S51" s="396">
        <f>S15+S32+S38+S46</f>
        <v>18527.21</v>
      </c>
      <c r="T51" s="399"/>
      <c r="U51" s="396">
        <f>U15+U32+U38+U46</f>
        <v>2075082.4700000002</v>
      </c>
      <c r="V51" s="398"/>
      <c r="W51" s="397"/>
      <c r="X51" s="396">
        <f>O51-U51</f>
        <v>1535042.9600000004</v>
      </c>
      <c r="Z51" s="331"/>
    </row>
    <row r="52" spans="2:26" ht="12.75" customHeight="1" thickBot="1">
      <c r="G52" s="395"/>
      <c r="N52" s="395"/>
      <c r="O52" s="395"/>
      <c r="P52" s="359"/>
      <c r="Q52" s="359"/>
      <c r="R52" s="359"/>
      <c r="S52" s="359"/>
      <c r="T52" s="392"/>
      <c r="U52" s="394"/>
      <c r="Z52" s="331"/>
    </row>
    <row r="53" spans="2:26" ht="13.5" hidden="1" thickBot="1">
      <c r="B53" s="635" t="s">
        <v>738</v>
      </c>
      <c r="C53" s="635"/>
      <c r="E53" s="393"/>
      <c r="G53" s="359"/>
      <c r="H53" s="359"/>
      <c r="I53" s="359"/>
      <c r="J53" s="359"/>
      <c r="K53" s="359"/>
      <c r="L53" s="359"/>
      <c r="M53" s="359"/>
      <c r="N53" s="359"/>
      <c r="O53" s="359"/>
      <c r="P53" s="359"/>
      <c r="Q53" s="359"/>
      <c r="R53" s="359"/>
      <c r="S53" s="359"/>
      <c r="T53" s="392"/>
      <c r="U53" s="392"/>
      <c r="Z53" s="331"/>
    </row>
    <row r="54" spans="2:26" ht="13.5" hidden="1" thickBot="1">
      <c r="B54" s="391"/>
      <c r="C54" s="390"/>
      <c r="D54" s="389"/>
      <c r="E54" s="388"/>
      <c r="F54" s="387"/>
      <c r="G54" s="386">
        <f>ROUND(E54*F54,2)</f>
        <v>0</v>
      </c>
      <c r="H54" s="385">
        <f>G54/$N$9</f>
        <v>0</v>
      </c>
      <c r="I54" s="359"/>
      <c r="J54" s="359"/>
      <c r="K54" s="359"/>
      <c r="L54" s="359"/>
      <c r="M54" s="359"/>
      <c r="N54" s="370"/>
      <c r="O54" s="359"/>
      <c r="P54" s="370"/>
      <c r="Q54" s="359"/>
      <c r="R54" s="370"/>
      <c r="S54" s="359"/>
      <c r="T54" s="369"/>
      <c r="U54" s="368"/>
      <c r="Z54" s="331"/>
    </row>
    <row r="55" spans="2:26" ht="13.5" hidden="1" thickBot="1">
      <c r="B55" s="384"/>
      <c r="C55" s="383"/>
      <c r="D55" s="382"/>
      <c r="E55" s="381"/>
      <c r="F55" s="380"/>
      <c r="G55" s="379">
        <f>ROUND(E55*F55,2)</f>
        <v>0</v>
      </c>
      <c r="H55" s="378">
        <f>G55/$N$9</f>
        <v>0</v>
      </c>
      <c r="I55" s="359"/>
      <c r="J55" s="359"/>
      <c r="K55" s="359"/>
      <c r="L55" s="359"/>
      <c r="M55" s="359"/>
      <c r="N55" s="370"/>
      <c r="O55" s="359"/>
      <c r="P55" s="370"/>
      <c r="Q55" s="359"/>
      <c r="R55" s="370"/>
      <c r="S55" s="359"/>
      <c r="T55" s="369"/>
      <c r="U55" s="368"/>
      <c r="Z55" s="331"/>
    </row>
    <row r="56" spans="2:26" ht="13.5" hidden="1" thickBot="1">
      <c r="B56" s="377"/>
      <c r="C56" s="376"/>
      <c r="D56" s="375"/>
      <c r="E56" s="374"/>
      <c r="F56" s="374"/>
      <c r="G56" s="373">
        <f>ROUND(2/3*E56/60*F56,2)</f>
        <v>0</v>
      </c>
      <c r="H56" s="372">
        <f>G56/$N$9</f>
        <v>0</v>
      </c>
      <c r="I56" s="359"/>
      <c r="J56" s="371"/>
      <c r="K56" s="371"/>
      <c r="L56" s="359"/>
      <c r="M56" s="359"/>
      <c r="N56" s="370"/>
      <c r="O56" s="359"/>
      <c r="P56" s="370"/>
      <c r="Q56" s="359"/>
      <c r="R56" s="370"/>
      <c r="S56" s="359"/>
      <c r="T56" s="369"/>
      <c r="U56" s="368"/>
      <c r="Z56" s="331"/>
    </row>
    <row r="57" spans="2:26" ht="13.5" hidden="1" thickBot="1">
      <c r="C57" s="332"/>
      <c r="D57" s="340"/>
      <c r="E57" s="332" t="s">
        <v>737</v>
      </c>
      <c r="F57" s="332"/>
      <c r="G57" s="367">
        <f>SUM(G54:G56)</f>
        <v>0</v>
      </c>
      <c r="H57" s="366">
        <f>G57/$N$9</f>
        <v>0</v>
      </c>
      <c r="I57" s="351"/>
      <c r="J57" s="351"/>
      <c r="K57" s="351"/>
      <c r="L57" s="351"/>
      <c r="M57" s="351"/>
      <c r="N57" s="351"/>
      <c r="O57" s="351"/>
      <c r="P57" s="351"/>
      <c r="Q57" s="351"/>
      <c r="R57" s="351"/>
      <c r="S57" s="351"/>
      <c r="T57" s="365"/>
      <c r="U57" s="351"/>
      <c r="Z57" s="331"/>
    </row>
    <row r="58" spans="2:26" ht="13.5" hidden="1" thickBot="1">
      <c r="G58" s="359"/>
      <c r="H58" s="359"/>
      <c r="I58" s="359"/>
      <c r="J58" s="359"/>
      <c r="K58" s="359"/>
      <c r="L58" s="359"/>
      <c r="M58" s="359"/>
      <c r="N58" s="359"/>
      <c r="O58" s="359"/>
      <c r="P58" s="359"/>
      <c r="R58" s="359"/>
      <c r="T58" s="359"/>
      <c r="U58" s="359"/>
      <c r="Z58" s="331"/>
    </row>
    <row r="59" spans="2:26" ht="13.5" thickBot="1">
      <c r="B59" s="364"/>
      <c r="C59" s="328"/>
      <c r="D59" s="328"/>
      <c r="E59" s="328"/>
      <c r="F59" s="328"/>
      <c r="G59" s="328"/>
      <c r="H59" s="328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Y59" s="327"/>
      <c r="Z59" s="331"/>
    </row>
    <row r="60" spans="2:26">
      <c r="B60" s="326"/>
      <c r="C60" s="363" t="s">
        <v>736</v>
      </c>
      <c r="D60" s="362"/>
      <c r="E60" s="361"/>
      <c r="F60" s="360">
        <f>N9</f>
        <v>3367031.95</v>
      </c>
      <c r="G60" s="340" t="s">
        <v>4</v>
      </c>
      <c r="S60" s="359"/>
      <c r="Y60" s="325"/>
      <c r="Z60" s="331"/>
    </row>
    <row r="61" spans="2:26">
      <c r="B61" s="326"/>
      <c r="C61" s="350" t="s">
        <v>735</v>
      </c>
      <c r="D61" s="349"/>
      <c r="E61" s="348"/>
      <c r="F61" s="347">
        <f>O51</f>
        <v>3610125.4300000006</v>
      </c>
      <c r="G61" s="340" t="s">
        <v>4</v>
      </c>
      <c r="O61" s="359"/>
      <c r="Y61" s="325"/>
      <c r="Z61" s="331"/>
    </row>
    <row r="62" spans="2:26">
      <c r="B62" s="326"/>
      <c r="C62" s="350" t="s">
        <v>734</v>
      </c>
      <c r="D62" s="357"/>
      <c r="E62" s="356" t="s">
        <v>733</v>
      </c>
      <c r="F62" s="347">
        <f>S51</f>
        <v>18527.21</v>
      </c>
      <c r="G62" s="340" t="s">
        <v>4</v>
      </c>
      <c r="I62" s="637"/>
      <c r="J62" s="637"/>
      <c r="K62" s="637"/>
      <c r="L62" s="637"/>
      <c r="M62" s="637"/>
      <c r="N62" s="637"/>
      <c r="O62" s="353"/>
      <c r="P62" s="352"/>
      <c r="R62" s="340"/>
      <c r="S62" s="340"/>
      <c r="V62" s="358"/>
      <c r="Y62" s="325"/>
      <c r="Z62" s="331"/>
    </row>
    <row r="63" spans="2:26">
      <c r="B63" s="326"/>
      <c r="C63" s="350" t="s">
        <v>732</v>
      </c>
      <c r="D63" s="357"/>
      <c r="E63" s="356"/>
      <c r="F63" s="355">
        <f>+R11</f>
        <v>5.1320128231666443E-3</v>
      </c>
      <c r="G63" s="340"/>
      <c r="I63" s="354"/>
      <c r="J63" s="354"/>
      <c r="K63" s="354"/>
      <c r="L63" s="354"/>
      <c r="M63" s="354"/>
      <c r="N63" s="354"/>
      <c r="O63" s="353"/>
      <c r="P63" s="352"/>
      <c r="R63" s="340"/>
      <c r="S63" s="351"/>
      <c r="Y63" s="325"/>
      <c r="Z63" s="331"/>
    </row>
    <row r="64" spans="2:26">
      <c r="B64" s="326"/>
      <c r="C64" s="350" t="s">
        <v>731</v>
      </c>
      <c r="D64" s="349"/>
      <c r="E64" s="348"/>
      <c r="F64" s="347">
        <f>G57</f>
        <v>0</v>
      </c>
      <c r="G64" s="340" t="s">
        <v>4</v>
      </c>
      <c r="O64" s="340"/>
      <c r="P64" s="340"/>
      <c r="Q64" s="340"/>
      <c r="S64" s="340"/>
      <c r="Y64" s="325"/>
      <c r="Z64" s="331"/>
    </row>
    <row r="65" spans="2:26">
      <c r="B65" s="326"/>
      <c r="C65" s="350" t="s">
        <v>730</v>
      </c>
      <c r="D65" s="349"/>
      <c r="E65" s="348"/>
      <c r="F65" s="347">
        <f>+U51</f>
        <v>2075082.4700000002</v>
      </c>
      <c r="G65" s="340" t="s">
        <v>4</v>
      </c>
      <c r="O65" s="340"/>
      <c r="P65" s="340"/>
      <c r="Q65" s="340"/>
      <c r="S65" s="340"/>
      <c r="Y65" s="325"/>
      <c r="Z65" s="331"/>
    </row>
    <row r="66" spans="2:26" ht="13.5" thickBot="1">
      <c r="B66" s="326"/>
      <c r="C66" s="346" t="s">
        <v>729</v>
      </c>
      <c r="D66" s="345"/>
      <c r="E66" s="344"/>
      <c r="F66" s="343">
        <f>+F65/F61</f>
        <v>0.574795117298736</v>
      </c>
      <c r="G66" s="340"/>
      <c r="O66" s="340"/>
      <c r="P66" s="340"/>
      <c r="Q66" s="340"/>
      <c r="R66" s="340"/>
      <c r="S66" s="340"/>
      <c r="Y66" s="325"/>
      <c r="Z66" s="331"/>
    </row>
    <row r="67" spans="2:26" ht="16.5" thickBot="1">
      <c r="B67" s="326"/>
      <c r="C67" s="342" t="s">
        <v>728</v>
      </c>
      <c r="D67" s="341"/>
      <c r="E67" s="638">
        <f>F62-F64</f>
        <v>18527.21</v>
      </c>
      <c r="F67" s="639"/>
      <c r="G67" s="340" t="s">
        <v>4</v>
      </c>
      <c r="M67" s="319">
        <v>134872.06</v>
      </c>
      <c r="N67" s="339" t="s">
        <v>43</v>
      </c>
      <c r="O67" s="338" t="e">
        <f ca="1">NumeLetras(E67," ","BOLIVIANOS",1)</f>
        <v>#NAME?</v>
      </c>
      <c r="P67" s="337"/>
      <c r="Q67" s="337"/>
      <c r="R67" s="337"/>
      <c r="S67" s="337"/>
      <c r="T67" s="336"/>
      <c r="U67" s="336"/>
      <c r="V67" s="336"/>
      <c r="W67" s="336"/>
      <c r="X67" s="335"/>
      <c r="Y67" s="325"/>
      <c r="Z67" s="331"/>
    </row>
    <row r="68" spans="2:26" ht="15" customHeight="1" thickBot="1">
      <c r="B68" s="334"/>
      <c r="C68" s="322"/>
      <c r="D68" s="322"/>
      <c r="E68" s="322"/>
      <c r="F68" s="322"/>
      <c r="G68" s="322"/>
      <c r="H68" s="322"/>
      <c r="I68" s="322"/>
      <c r="J68" s="322"/>
      <c r="K68" s="322"/>
      <c r="L68" s="322"/>
      <c r="M68" s="322"/>
      <c r="N68" s="322"/>
      <c r="O68" s="322"/>
      <c r="P68" s="322"/>
      <c r="Q68" s="322"/>
      <c r="R68" s="322"/>
      <c r="S68" s="322"/>
      <c r="T68" s="322"/>
      <c r="U68" s="322"/>
      <c r="V68" s="322"/>
      <c r="W68" s="322"/>
      <c r="X68" s="322"/>
      <c r="Y68" s="333"/>
      <c r="Z68" s="331"/>
    </row>
    <row r="69" spans="2:26" ht="15.75" customHeight="1" thickBot="1">
      <c r="C69" s="332"/>
      <c r="Z69" s="331"/>
    </row>
    <row r="70" spans="2:26" ht="12.75" customHeight="1">
      <c r="B70" s="330" t="s">
        <v>7</v>
      </c>
      <c r="C70" s="328"/>
      <c r="D70" s="329"/>
      <c r="E70" s="329" t="s">
        <v>44</v>
      </c>
      <c r="F70" s="329"/>
      <c r="G70" s="328"/>
      <c r="H70" s="329"/>
      <c r="I70" s="329"/>
      <c r="J70" s="329"/>
      <c r="K70" s="329"/>
      <c r="L70" s="329"/>
      <c r="M70" s="329"/>
      <c r="N70" s="329" t="s">
        <v>45</v>
      </c>
      <c r="O70" s="329"/>
      <c r="P70" s="329"/>
      <c r="Q70" s="329"/>
      <c r="R70" s="329" t="s">
        <v>45</v>
      </c>
      <c r="S70" s="329"/>
      <c r="T70" s="328"/>
      <c r="U70" s="329"/>
      <c r="V70" s="328"/>
      <c r="W70" s="328"/>
      <c r="X70" s="328"/>
      <c r="Y70" s="327"/>
    </row>
    <row r="71" spans="2:26" ht="12.75" customHeight="1">
      <c r="B71" s="326"/>
      <c r="Y71" s="325"/>
    </row>
    <row r="72" spans="2:26" ht="12.75" customHeight="1">
      <c r="B72" s="326"/>
      <c r="Y72" s="325"/>
    </row>
    <row r="73" spans="2:26" ht="12.75" customHeight="1">
      <c r="B73" s="326"/>
      <c r="Y73" s="325"/>
    </row>
    <row r="74" spans="2:26" ht="12.75" customHeight="1">
      <c r="B74" s="326"/>
      <c r="Y74" s="325"/>
    </row>
    <row r="75" spans="2:26" ht="12.75" customHeight="1">
      <c r="B75" s="326"/>
      <c r="Y75" s="325"/>
    </row>
    <row r="76" spans="2:26" ht="12.75" customHeight="1">
      <c r="B76" s="326"/>
      <c r="Y76" s="325"/>
    </row>
    <row r="77" spans="2:26" ht="12.75" customHeight="1">
      <c r="B77" s="326"/>
      <c r="Y77" s="325"/>
    </row>
    <row r="78" spans="2:26" ht="12.75" customHeight="1">
      <c r="B78" s="326"/>
      <c r="Y78" s="325"/>
    </row>
    <row r="79" spans="2:26" ht="12.75" customHeight="1">
      <c r="B79" s="326"/>
      <c r="Y79" s="325"/>
    </row>
    <row r="80" spans="2:26" ht="12.75" customHeight="1">
      <c r="B80" s="326"/>
      <c r="Y80" s="325"/>
    </row>
    <row r="81" spans="2:25" ht="12.75" customHeight="1">
      <c r="B81" s="326"/>
      <c r="Y81" s="325"/>
    </row>
    <row r="82" spans="2:25" ht="13.5" thickBot="1">
      <c r="B82" s="324"/>
      <c r="C82" s="323"/>
      <c r="D82" s="321"/>
      <c r="E82" s="321"/>
      <c r="F82" s="321"/>
      <c r="G82" s="322"/>
      <c r="H82" s="321"/>
      <c r="I82" s="321"/>
      <c r="J82" s="321"/>
      <c r="K82" s="321"/>
      <c r="L82" s="321"/>
      <c r="M82" s="321"/>
      <c r="N82" s="321"/>
      <c r="O82" s="322"/>
      <c r="P82" s="321"/>
      <c r="Q82" s="321"/>
      <c r="R82" s="321"/>
      <c r="S82" s="321"/>
      <c r="T82" s="322"/>
      <c r="U82" s="321"/>
      <c r="V82" s="321"/>
      <c r="W82" s="321"/>
      <c r="X82" s="321"/>
      <c r="Y82" s="320"/>
    </row>
  </sheetData>
  <sheetProtection selectLockedCells="1"/>
  <mergeCells count="44">
    <mergeCell ref="R11:S11"/>
    <mergeCell ref="B14:D14"/>
    <mergeCell ref="B53:C53"/>
    <mergeCell ref="I62:N62"/>
    <mergeCell ref="E67:F67"/>
    <mergeCell ref="P12:Q12"/>
    <mergeCell ref="B11:B13"/>
    <mergeCell ref="C11:C13"/>
    <mergeCell ref="D11:D13"/>
    <mergeCell ref="E11:E13"/>
    <mergeCell ref="F11:G11"/>
    <mergeCell ref="T12:U12"/>
    <mergeCell ref="W12:W13"/>
    <mergeCell ref="X12:X13"/>
    <mergeCell ref="Y12:Y13"/>
    <mergeCell ref="T11:U11"/>
    <mergeCell ref="V11:V13"/>
    <mergeCell ref="W11:Y11"/>
    <mergeCell ref="D5:O5"/>
    <mergeCell ref="S5:T5"/>
    <mergeCell ref="W5:Y5"/>
    <mergeCell ref="O12:O13"/>
    <mergeCell ref="H11:I11"/>
    <mergeCell ref="J11:K11"/>
    <mergeCell ref="L11:M11"/>
    <mergeCell ref="N11:O11"/>
    <mergeCell ref="P11:Q11"/>
    <mergeCell ref="F12:F13"/>
    <mergeCell ref="G12:G13"/>
    <mergeCell ref="I12:I13"/>
    <mergeCell ref="K12:K13"/>
    <mergeCell ref="M12:M13"/>
    <mergeCell ref="N12:N13"/>
    <mergeCell ref="R12:S12"/>
    <mergeCell ref="S6:T6"/>
    <mergeCell ref="W6:Y6"/>
    <mergeCell ref="D7:O7"/>
    <mergeCell ref="N9:O9"/>
    <mergeCell ref="P10:U10"/>
    <mergeCell ref="B1:Y1"/>
    <mergeCell ref="D3:O3"/>
    <mergeCell ref="S3:T3"/>
    <mergeCell ref="V3:Y3"/>
    <mergeCell ref="S4:T4"/>
  </mergeCells>
  <printOptions horizontalCentered="1" verticalCentered="1"/>
  <pageMargins left="0" right="0" top="0.19685039370078741" bottom="0.19685039370078741" header="0" footer="0"/>
  <pageSetup scale="58" orientation="landscape" horizontalDpi="4294967294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03BF5-ED7C-4A4F-9B2F-5941FC4A182E}">
  <dimension ref="A1:T1298"/>
  <sheetViews>
    <sheetView zoomScale="130" zoomScaleNormal="130" zoomScaleSheetLayoutView="130" workbookViewId="0"/>
  </sheetViews>
  <sheetFormatPr baseColWidth="10" defaultRowHeight="13.5"/>
  <cols>
    <col min="1" max="1" width="5.28515625" style="47" customWidth="1"/>
    <col min="2" max="2" width="34" style="47" customWidth="1"/>
    <col min="3" max="3" width="5.140625" style="47" customWidth="1"/>
    <col min="4" max="4" width="6" style="47" bestFit="1" customWidth="1"/>
    <col min="5" max="5" width="7" style="47" bestFit="1" customWidth="1"/>
    <col min="6" max="6" width="7.140625" style="47" bestFit="1" customWidth="1"/>
    <col min="7" max="7" width="7.28515625" style="47" bestFit="1" customWidth="1"/>
    <col min="8" max="8" width="8.5703125" style="47" bestFit="1" customWidth="1"/>
    <col min="9" max="9" width="6" style="47" bestFit="1" customWidth="1"/>
    <col min="10" max="10" width="6.5703125" style="47" bestFit="1" customWidth="1"/>
    <col min="11" max="11" width="9.7109375" style="47" bestFit="1" customWidth="1"/>
    <col min="12" max="12" width="7.42578125" style="47" customWidth="1"/>
    <col min="13" max="13" width="29" style="47" customWidth="1"/>
    <col min="14" max="14" width="8" style="47" customWidth="1"/>
    <col min="15" max="15" width="9" style="47" customWidth="1"/>
    <col min="16" max="16384" width="11.42578125" style="47"/>
  </cols>
  <sheetData>
    <row r="1" spans="1:11" ht="14.25" thickTop="1">
      <c r="A1" s="91"/>
      <c r="B1" s="90"/>
      <c r="C1" s="90"/>
      <c r="D1" s="90"/>
      <c r="E1" s="90"/>
      <c r="F1" s="90"/>
      <c r="G1" s="90"/>
      <c r="H1" s="90"/>
      <c r="I1" s="90"/>
      <c r="J1" s="90"/>
      <c r="K1" s="89"/>
    </row>
    <row r="2" spans="1:11" ht="18">
      <c r="A2" s="569" t="s">
        <v>29</v>
      </c>
      <c r="B2" s="570"/>
      <c r="C2" s="570"/>
      <c r="D2" s="570"/>
      <c r="E2" s="570"/>
      <c r="F2" s="570"/>
      <c r="G2" s="570"/>
      <c r="H2" s="570"/>
      <c r="I2" s="570"/>
      <c r="J2" s="570"/>
      <c r="K2" s="571"/>
    </row>
    <row r="3" spans="1:11" ht="15.75">
      <c r="A3" s="572" t="s">
        <v>69</v>
      </c>
      <c r="B3" s="573"/>
      <c r="C3" s="573"/>
      <c r="D3" s="573"/>
      <c r="E3" s="573"/>
      <c r="F3" s="573"/>
      <c r="G3" s="573"/>
      <c r="H3" s="573"/>
      <c r="I3" s="573"/>
      <c r="J3" s="573"/>
      <c r="K3" s="574"/>
    </row>
    <row r="4" spans="1:11">
      <c r="A4" s="88"/>
      <c r="B4" s="85"/>
      <c r="C4" s="85"/>
      <c r="D4" s="85"/>
      <c r="E4" s="85"/>
      <c r="F4" s="85"/>
      <c r="G4" s="85"/>
      <c r="H4" s="85"/>
      <c r="I4" s="85"/>
      <c r="J4" s="85"/>
      <c r="K4" s="87"/>
    </row>
    <row r="5" spans="1:11" ht="10.5" customHeight="1">
      <c r="A5" s="55"/>
      <c r="B5" s="86"/>
      <c r="C5" s="86"/>
      <c r="D5" s="86"/>
      <c r="E5" s="86"/>
      <c r="F5" s="86"/>
      <c r="G5" s="86"/>
      <c r="H5" s="86"/>
      <c r="I5" s="86"/>
      <c r="J5" s="86"/>
      <c r="K5" s="81"/>
    </row>
    <row r="6" spans="1:11" ht="19.5" customHeight="1">
      <c r="A6" s="575" t="s">
        <v>68</v>
      </c>
      <c r="B6" s="576"/>
      <c r="C6" s="576"/>
      <c r="D6" s="576"/>
      <c r="E6" s="576"/>
      <c r="F6" s="576"/>
      <c r="G6" s="576"/>
      <c r="H6" s="576"/>
      <c r="I6" s="576"/>
      <c r="J6" s="576"/>
      <c r="K6" s="577"/>
    </row>
    <row r="7" spans="1:11" ht="8.25" customHeight="1">
      <c r="A7" s="55"/>
      <c r="B7" s="86"/>
      <c r="C7" s="86"/>
      <c r="D7" s="86"/>
      <c r="E7" s="86"/>
      <c r="F7" s="86"/>
      <c r="G7" s="86"/>
      <c r="H7" s="86"/>
      <c r="I7" s="86"/>
      <c r="J7" s="85"/>
      <c r="K7" s="81"/>
    </row>
    <row r="8" spans="1:11">
      <c r="A8" s="84"/>
      <c r="B8" s="83" t="s">
        <v>11</v>
      </c>
      <c r="C8" s="578" t="s">
        <v>361</v>
      </c>
      <c r="D8" s="579"/>
      <c r="E8" s="579"/>
      <c r="F8" s="579"/>
      <c r="G8" s="579"/>
      <c r="H8" s="579"/>
      <c r="I8" s="579"/>
      <c r="J8" s="580"/>
      <c r="K8" s="81"/>
    </row>
    <row r="9" spans="1:11" ht="7.5" customHeight="1">
      <c r="A9" s="80"/>
      <c r="K9" s="81"/>
    </row>
    <row r="10" spans="1:11">
      <c r="A10" s="80"/>
      <c r="B10" s="82" t="s">
        <v>67</v>
      </c>
      <c r="C10" s="581" t="s">
        <v>66</v>
      </c>
      <c r="D10" s="582"/>
      <c r="E10" s="582"/>
      <c r="F10" s="582"/>
      <c r="G10" s="582"/>
      <c r="H10" s="582"/>
      <c r="I10" s="582"/>
      <c r="J10" s="583"/>
      <c r="K10" s="81"/>
    </row>
    <row r="11" spans="1:11" ht="8.25" customHeight="1">
      <c r="A11" s="80"/>
      <c r="B11" s="79"/>
      <c r="D11" s="78"/>
      <c r="E11" s="78"/>
      <c r="F11" s="78"/>
      <c r="G11" s="78"/>
      <c r="H11" s="78"/>
      <c r="I11" s="78"/>
      <c r="K11" s="77"/>
    </row>
    <row r="12" spans="1:11" ht="12.75" customHeight="1">
      <c r="A12" s="584" t="s">
        <v>84</v>
      </c>
      <c r="B12" s="585" t="s">
        <v>83</v>
      </c>
      <c r="C12" s="585" t="s">
        <v>82</v>
      </c>
      <c r="D12" s="585" t="s">
        <v>81</v>
      </c>
      <c r="E12" s="564" t="s">
        <v>80</v>
      </c>
      <c r="F12" s="564"/>
      <c r="G12" s="564"/>
      <c r="H12" s="564" t="s">
        <v>79</v>
      </c>
      <c r="I12" s="564"/>
      <c r="J12" s="564"/>
      <c r="K12" s="565" t="s">
        <v>58</v>
      </c>
    </row>
    <row r="13" spans="1:11" ht="12.75" customHeight="1">
      <c r="A13" s="584"/>
      <c r="B13" s="585"/>
      <c r="C13" s="585"/>
      <c r="D13" s="585"/>
      <c r="E13" s="125" t="s">
        <v>78</v>
      </c>
      <c r="F13" s="125" t="s">
        <v>77</v>
      </c>
      <c r="G13" s="125" t="s">
        <v>76</v>
      </c>
      <c r="H13" s="125" t="s">
        <v>75</v>
      </c>
      <c r="I13" s="125" t="s">
        <v>74</v>
      </c>
      <c r="J13" s="125" t="s">
        <v>73</v>
      </c>
      <c r="K13" s="565"/>
    </row>
    <row r="14" spans="1:11" ht="12.75" customHeight="1">
      <c r="A14" s="584"/>
      <c r="B14" s="585"/>
      <c r="C14" s="585"/>
      <c r="D14" s="585"/>
      <c r="E14" s="125" t="s">
        <v>70</v>
      </c>
      <c r="F14" s="125" t="s">
        <v>70</v>
      </c>
      <c r="G14" s="125" t="s">
        <v>70</v>
      </c>
      <c r="H14" s="125" t="s">
        <v>72</v>
      </c>
      <c r="I14" s="125" t="s">
        <v>71</v>
      </c>
      <c r="J14" s="125" t="s">
        <v>70</v>
      </c>
      <c r="K14" s="565"/>
    </row>
    <row r="15" spans="1:11" ht="12.75" customHeight="1">
      <c r="A15" s="566" t="s">
        <v>114</v>
      </c>
      <c r="B15" s="567"/>
      <c r="C15" s="567"/>
      <c r="D15" s="567"/>
      <c r="E15" s="567"/>
      <c r="F15" s="567"/>
      <c r="G15" s="567"/>
      <c r="H15" s="567"/>
      <c r="I15" s="567"/>
      <c r="J15" s="567"/>
      <c r="K15" s="568"/>
    </row>
    <row r="16" spans="1:11" ht="12.75" customHeight="1">
      <c r="A16" s="66">
        <v>1</v>
      </c>
      <c r="B16" s="65" t="s">
        <v>116</v>
      </c>
      <c r="C16" s="64" t="s">
        <v>53</v>
      </c>
      <c r="D16" s="76"/>
      <c r="E16" s="75"/>
      <c r="F16" s="75"/>
      <c r="G16" s="75"/>
      <c r="H16" s="75"/>
      <c r="I16" s="75"/>
      <c r="J16" s="74"/>
      <c r="K16" s="63">
        <f>D17</f>
        <v>1</v>
      </c>
    </row>
    <row r="17" spans="1:11" ht="12.75" customHeight="1">
      <c r="A17" s="102"/>
      <c r="B17" s="101"/>
      <c r="C17" s="100"/>
      <c r="D17" s="99">
        <v>1</v>
      </c>
      <c r="E17" s="98"/>
      <c r="F17" s="98"/>
      <c r="G17" s="98"/>
      <c r="H17" s="98"/>
      <c r="I17" s="98"/>
      <c r="J17" s="97"/>
      <c r="K17" s="96"/>
    </row>
    <row r="18" spans="1:11" ht="12.75" customHeight="1">
      <c r="A18" s="66">
        <v>2</v>
      </c>
      <c r="B18" s="65" t="s">
        <v>117</v>
      </c>
      <c r="C18" s="64" t="s">
        <v>51</v>
      </c>
      <c r="D18" s="76"/>
      <c r="E18" s="75"/>
      <c r="F18" s="75"/>
      <c r="G18" s="75"/>
      <c r="H18" s="75"/>
      <c r="I18" s="75"/>
      <c r="J18" s="74"/>
      <c r="K18" s="63">
        <f>SUM(D19:D21)</f>
        <v>56</v>
      </c>
    </row>
    <row r="19" spans="1:11" ht="12.75" customHeight="1">
      <c r="A19" s="118"/>
      <c r="B19" s="94" t="s">
        <v>358</v>
      </c>
      <c r="C19" s="93"/>
      <c r="D19" s="69">
        <v>10</v>
      </c>
      <c r="E19" s="68"/>
      <c r="F19" s="68"/>
      <c r="G19" s="68"/>
      <c r="H19" s="68"/>
      <c r="I19" s="68"/>
      <c r="J19" s="114"/>
      <c r="K19" s="117"/>
    </row>
    <row r="20" spans="1:11" ht="12.75" customHeight="1">
      <c r="A20" s="118"/>
      <c r="B20" s="94" t="s">
        <v>360</v>
      </c>
      <c r="C20" s="93"/>
      <c r="D20" s="69">
        <v>22</v>
      </c>
      <c r="E20" s="68"/>
      <c r="F20" s="68"/>
      <c r="G20" s="68"/>
      <c r="H20" s="68"/>
      <c r="I20" s="68"/>
      <c r="J20" s="114"/>
      <c r="K20" s="117"/>
    </row>
    <row r="21" spans="1:11" ht="12.75" customHeight="1">
      <c r="A21" s="115"/>
      <c r="B21" s="111" t="s">
        <v>359</v>
      </c>
      <c r="C21" s="140"/>
      <c r="D21" s="71">
        <v>24</v>
      </c>
      <c r="E21" s="70"/>
      <c r="F21" s="70"/>
      <c r="G21" s="70"/>
      <c r="H21" s="70"/>
      <c r="I21" s="70"/>
      <c r="J21" s="141"/>
      <c r="K21" s="113"/>
    </row>
    <row r="22" spans="1:11" ht="12.75" customHeight="1">
      <c r="A22" s="66">
        <v>3</v>
      </c>
      <c r="B22" s="65" t="s">
        <v>52</v>
      </c>
      <c r="C22" s="64" t="s">
        <v>50</v>
      </c>
      <c r="D22" s="76"/>
      <c r="E22" s="75"/>
      <c r="F22" s="75"/>
      <c r="G22" s="75"/>
      <c r="H22" s="75"/>
      <c r="I22" s="75"/>
      <c r="J22" s="74"/>
      <c r="K22" s="63">
        <f>H23</f>
        <v>1326.6</v>
      </c>
    </row>
    <row r="23" spans="1:11" ht="12.75" customHeight="1">
      <c r="A23" s="102"/>
      <c r="B23" s="101" t="s">
        <v>128</v>
      </c>
      <c r="C23" s="100"/>
      <c r="D23" s="99"/>
      <c r="E23" s="98"/>
      <c r="F23" s="98"/>
      <c r="G23" s="98"/>
      <c r="H23" s="98">
        <v>1326.6</v>
      </c>
      <c r="I23" s="98"/>
      <c r="J23" s="97"/>
      <c r="K23" s="96"/>
    </row>
    <row r="24" spans="1:11" ht="12.75" customHeight="1">
      <c r="A24" s="66">
        <v>4</v>
      </c>
      <c r="B24" s="65" t="s">
        <v>118</v>
      </c>
      <c r="C24" s="64" t="s">
        <v>48</v>
      </c>
      <c r="D24" s="76"/>
      <c r="E24" s="75"/>
      <c r="F24" s="75"/>
      <c r="G24" s="75"/>
      <c r="H24" s="75"/>
      <c r="I24" s="75"/>
      <c r="J24" s="74"/>
      <c r="K24" s="63">
        <f>SUM(H26:H57)</f>
        <v>60.786249999999974</v>
      </c>
    </row>
    <row r="25" spans="1:11" ht="12.75" customHeight="1">
      <c r="A25" s="108"/>
      <c r="B25" s="105" t="s">
        <v>130</v>
      </c>
      <c r="C25" s="104"/>
      <c r="D25" s="73"/>
      <c r="E25" s="72"/>
      <c r="F25" s="72"/>
      <c r="G25" s="72"/>
      <c r="H25" s="72"/>
      <c r="I25" s="72"/>
      <c r="J25" s="124"/>
      <c r="K25" s="107"/>
    </row>
    <row r="26" spans="1:11" ht="12.75" customHeight="1">
      <c r="A26" s="118"/>
      <c r="B26" s="94" t="s">
        <v>88</v>
      </c>
      <c r="C26" s="93"/>
      <c r="D26" s="69">
        <v>1</v>
      </c>
      <c r="E26" s="68">
        <f>1.5+0.3</f>
        <v>1.8</v>
      </c>
      <c r="F26" s="68">
        <f>1.5+0.3</f>
        <v>1.8</v>
      </c>
      <c r="G26" s="68">
        <f>1+0.3</f>
        <v>1.3</v>
      </c>
      <c r="H26" s="68">
        <f>PRODUCT(D26:G26)</f>
        <v>4.2120000000000006</v>
      </c>
      <c r="I26" s="68"/>
      <c r="J26" s="114"/>
      <c r="K26" s="117"/>
    </row>
    <row r="27" spans="1:11" ht="12.75" customHeight="1">
      <c r="A27" s="118"/>
      <c r="B27" s="94" t="s">
        <v>89</v>
      </c>
      <c r="C27" s="93"/>
      <c r="D27" s="69">
        <v>-1</v>
      </c>
      <c r="E27" s="68">
        <v>1.1000000000000001</v>
      </c>
      <c r="F27" s="68">
        <v>1.1000000000000001</v>
      </c>
      <c r="G27" s="68">
        <f>1+0.3</f>
        <v>1.3</v>
      </c>
      <c r="H27" s="68">
        <f>PRODUCT(D27:G27)</f>
        <v>-1.5730000000000004</v>
      </c>
      <c r="I27" s="68"/>
      <c r="J27" s="114"/>
      <c r="K27" s="117"/>
    </row>
    <row r="28" spans="1:11" ht="12.75" customHeight="1">
      <c r="A28" s="118"/>
      <c r="B28" s="119" t="s">
        <v>131</v>
      </c>
      <c r="C28" s="93"/>
      <c r="D28" s="69"/>
      <c r="E28" s="68"/>
      <c r="F28" s="68"/>
      <c r="G28" s="68"/>
      <c r="H28" s="68"/>
      <c r="I28" s="68"/>
      <c r="J28" s="114"/>
      <c r="K28" s="117"/>
    </row>
    <row r="29" spans="1:11" ht="12.75" customHeight="1">
      <c r="A29" s="118"/>
      <c r="B29" s="94" t="s">
        <v>88</v>
      </c>
      <c r="C29" s="93"/>
      <c r="D29" s="69">
        <v>1</v>
      </c>
      <c r="E29" s="68">
        <f>2+0.3</f>
        <v>2.2999999999999998</v>
      </c>
      <c r="F29" s="68">
        <f>2+0.3</f>
        <v>2.2999999999999998</v>
      </c>
      <c r="G29" s="68">
        <f>1.1+0.3</f>
        <v>1.4000000000000001</v>
      </c>
      <c r="H29" s="68">
        <f t="shared" ref="H29:H30" si="0">PRODUCT(D29:G29)</f>
        <v>7.4059999999999997</v>
      </c>
      <c r="I29" s="68"/>
      <c r="J29" s="114"/>
      <c r="K29" s="117"/>
    </row>
    <row r="30" spans="1:11" ht="12.75" customHeight="1">
      <c r="A30" s="118"/>
      <c r="B30" s="94" t="s">
        <v>89</v>
      </c>
      <c r="C30" s="93"/>
      <c r="D30" s="69">
        <v>-1</v>
      </c>
      <c r="E30" s="68">
        <v>1.1000000000000001</v>
      </c>
      <c r="F30" s="68">
        <v>1.1000000000000001</v>
      </c>
      <c r="G30" s="68">
        <f>1.1+0.3</f>
        <v>1.4000000000000001</v>
      </c>
      <c r="H30" s="68">
        <f t="shared" si="0"/>
        <v>-1.6940000000000004</v>
      </c>
      <c r="I30" s="68"/>
      <c r="J30" s="114"/>
      <c r="K30" s="117"/>
    </row>
    <row r="31" spans="1:11" ht="12.75" customHeight="1">
      <c r="A31" s="118"/>
      <c r="B31" s="119" t="s">
        <v>132</v>
      </c>
      <c r="C31" s="93"/>
      <c r="D31" s="69"/>
      <c r="E31" s="68"/>
      <c r="F31" s="68"/>
      <c r="G31" s="68"/>
      <c r="H31" s="68"/>
      <c r="I31" s="68"/>
      <c r="J31" s="114"/>
      <c r="K31" s="117"/>
    </row>
    <row r="32" spans="1:11" ht="12.75" customHeight="1">
      <c r="A32" s="118"/>
      <c r="B32" s="94" t="s">
        <v>88</v>
      </c>
      <c r="C32" s="93"/>
      <c r="D32" s="69">
        <v>1</v>
      </c>
      <c r="E32" s="68">
        <f>2.2+0.3</f>
        <v>2.5</v>
      </c>
      <c r="F32" s="68">
        <f>2.2+0.3</f>
        <v>2.5</v>
      </c>
      <c r="G32" s="68">
        <f>1.1+0.5</f>
        <v>1.6</v>
      </c>
      <c r="H32" s="68">
        <f t="shared" ref="H32:H33" si="1">PRODUCT(D32:G32)</f>
        <v>10</v>
      </c>
      <c r="I32" s="68"/>
      <c r="J32" s="114"/>
      <c r="K32" s="117"/>
    </row>
    <row r="33" spans="1:11" ht="12.75" customHeight="1">
      <c r="A33" s="118"/>
      <c r="B33" s="94" t="s">
        <v>89</v>
      </c>
      <c r="C33" s="93"/>
      <c r="D33" s="69">
        <v>-1</v>
      </c>
      <c r="E33" s="68">
        <v>1.9</v>
      </c>
      <c r="F33" s="68">
        <v>1.9</v>
      </c>
      <c r="G33" s="68">
        <f>1.1+0.5</f>
        <v>1.6</v>
      </c>
      <c r="H33" s="68">
        <f t="shared" si="1"/>
        <v>-5.7759999999999998</v>
      </c>
      <c r="I33" s="68"/>
      <c r="J33" s="114"/>
      <c r="K33" s="117"/>
    </row>
    <row r="34" spans="1:11" ht="12.75" customHeight="1">
      <c r="A34" s="118"/>
      <c r="B34" s="119" t="s">
        <v>133</v>
      </c>
      <c r="C34" s="93"/>
      <c r="D34" s="69"/>
      <c r="E34" s="68"/>
      <c r="F34" s="68"/>
      <c r="G34" s="68"/>
      <c r="H34" s="68"/>
      <c r="I34" s="68"/>
      <c r="J34" s="114"/>
      <c r="K34" s="117"/>
    </row>
    <row r="35" spans="1:11" ht="12.75" customHeight="1">
      <c r="A35" s="118"/>
      <c r="B35" s="94" t="s">
        <v>88</v>
      </c>
      <c r="C35" s="93"/>
      <c r="D35" s="69">
        <v>1</v>
      </c>
      <c r="E35" s="68">
        <f>2.6+0.3</f>
        <v>2.9</v>
      </c>
      <c r="F35" s="68">
        <f>2.6+0.3</f>
        <v>2.9</v>
      </c>
      <c r="G35" s="68">
        <f>1.4+0.4</f>
        <v>1.7999999999999998</v>
      </c>
      <c r="H35" s="68">
        <f t="shared" ref="H35:H36" si="2">PRODUCT(D35:G35)</f>
        <v>15.137999999999998</v>
      </c>
      <c r="I35" s="68"/>
      <c r="J35" s="114"/>
      <c r="K35" s="117"/>
    </row>
    <row r="36" spans="1:11" ht="12.75" customHeight="1">
      <c r="A36" s="118"/>
      <c r="B36" s="94" t="s">
        <v>89</v>
      </c>
      <c r="C36" s="93"/>
      <c r="D36" s="69">
        <v>-1</v>
      </c>
      <c r="E36" s="68">
        <v>1.5</v>
      </c>
      <c r="F36" s="68">
        <v>1.5</v>
      </c>
      <c r="G36" s="68">
        <f>1.4+0.4</f>
        <v>1.7999999999999998</v>
      </c>
      <c r="H36" s="68">
        <f t="shared" si="2"/>
        <v>-4.05</v>
      </c>
      <c r="I36" s="68"/>
      <c r="J36" s="114"/>
      <c r="K36" s="117"/>
    </row>
    <row r="37" spans="1:11" ht="12.75" customHeight="1">
      <c r="A37" s="118"/>
      <c r="B37" s="119" t="s">
        <v>134</v>
      </c>
      <c r="C37" s="93"/>
      <c r="D37" s="69"/>
      <c r="E37" s="68"/>
      <c r="F37" s="68"/>
      <c r="G37" s="68"/>
      <c r="H37" s="68"/>
      <c r="I37" s="68"/>
      <c r="J37" s="114"/>
      <c r="K37" s="117"/>
    </row>
    <row r="38" spans="1:11" ht="12.75" customHeight="1">
      <c r="A38" s="118"/>
      <c r="B38" s="94" t="s">
        <v>88</v>
      </c>
      <c r="C38" s="93"/>
      <c r="D38" s="69">
        <v>1</v>
      </c>
      <c r="E38" s="68">
        <f>2.2+0.3</f>
        <v>2.5</v>
      </c>
      <c r="F38" s="68">
        <f>2.2+0.3</f>
        <v>2.5</v>
      </c>
      <c r="G38" s="68">
        <f>1.5+0.45</f>
        <v>1.95</v>
      </c>
      <c r="H38" s="68">
        <f t="shared" ref="H38:H39" si="3">PRODUCT(D38:G38)</f>
        <v>12.1875</v>
      </c>
      <c r="I38" s="68"/>
      <c r="J38" s="114"/>
      <c r="K38" s="117"/>
    </row>
    <row r="39" spans="1:11" ht="12.75" customHeight="1">
      <c r="A39" s="118"/>
      <c r="B39" s="94" t="s">
        <v>89</v>
      </c>
      <c r="C39" s="93"/>
      <c r="D39" s="69">
        <v>-1</v>
      </c>
      <c r="E39" s="68">
        <v>1.7</v>
      </c>
      <c r="F39" s="68">
        <v>1.7</v>
      </c>
      <c r="G39" s="68">
        <f>1.5+0.45</f>
        <v>1.95</v>
      </c>
      <c r="H39" s="68">
        <f t="shared" si="3"/>
        <v>-5.6354999999999995</v>
      </c>
      <c r="I39" s="68"/>
      <c r="J39" s="114"/>
      <c r="K39" s="117"/>
    </row>
    <row r="40" spans="1:11" ht="12.75" customHeight="1">
      <c r="A40" s="118"/>
      <c r="B40" s="119" t="s">
        <v>135</v>
      </c>
      <c r="C40" s="93"/>
      <c r="D40" s="69"/>
      <c r="E40" s="68"/>
      <c r="F40" s="68"/>
      <c r="G40" s="68"/>
      <c r="H40" s="68"/>
      <c r="I40" s="68"/>
      <c r="J40" s="114"/>
      <c r="K40" s="117"/>
    </row>
    <row r="41" spans="1:11" ht="12.75" customHeight="1">
      <c r="A41" s="118"/>
      <c r="B41" s="94" t="s">
        <v>88</v>
      </c>
      <c r="C41" s="93"/>
      <c r="D41" s="69">
        <v>1</v>
      </c>
      <c r="E41" s="68">
        <f>1.6+0.3</f>
        <v>1.9000000000000001</v>
      </c>
      <c r="F41" s="68">
        <f>1.6+0.3</f>
        <v>1.9000000000000001</v>
      </c>
      <c r="G41" s="68">
        <f>0.9+0.3</f>
        <v>1.2</v>
      </c>
      <c r="H41" s="68">
        <f t="shared" ref="H41:H42" si="4">PRODUCT(D41:G41)</f>
        <v>4.3319999999999999</v>
      </c>
      <c r="I41" s="68"/>
      <c r="J41" s="114"/>
      <c r="K41" s="117"/>
    </row>
    <row r="42" spans="1:11" ht="12.75" customHeight="1">
      <c r="A42" s="118"/>
      <c r="B42" s="94" t="s">
        <v>89</v>
      </c>
      <c r="C42" s="93"/>
      <c r="D42" s="69">
        <v>-1</v>
      </c>
      <c r="E42" s="68">
        <v>1.2</v>
      </c>
      <c r="F42" s="68">
        <v>1.2</v>
      </c>
      <c r="G42" s="68">
        <f>0.9+0.3</f>
        <v>1.2</v>
      </c>
      <c r="H42" s="68">
        <f t="shared" si="4"/>
        <v>-1.728</v>
      </c>
      <c r="I42" s="68"/>
      <c r="J42" s="114"/>
      <c r="K42" s="117"/>
    </row>
    <row r="43" spans="1:11" ht="12.75" customHeight="1">
      <c r="A43" s="118"/>
      <c r="B43" s="119" t="s">
        <v>136</v>
      </c>
      <c r="C43" s="93"/>
      <c r="D43" s="69"/>
      <c r="E43" s="68"/>
      <c r="F43" s="68"/>
      <c r="G43" s="68"/>
      <c r="H43" s="68"/>
      <c r="I43" s="68"/>
      <c r="J43" s="114"/>
      <c r="K43" s="117"/>
    </row>
    <row r="44" spans="1:11" ht="12.75" customHeight="1">
      <c r="A44" s="118"/>
      <c r="B44" s="94" t="s">
        <v>88</v>
      </c>
      <c r="C44" s="93"/>
      <c r="D44" s="69">
        <v>1</v>
      </c>
      <c r="E44" s="68">
        <f>2.2+0.3</f>
        <v>2.5</v>
      </c>
      <c r="F44" s="68">
        <f>2.2+0.3</f>
        <v>2.5</v>
      </c>
      <c r="G44" s="68">
        <f>1.1+0.4</f>
        <v>1.5</v>
      </c>
      <c r="H44" s="68">
        <f t="shared" ref="H44:H45" si="5">PRODUCT(D44:G44)</f>
        <v>9.375</v>
      </c>
      <c r="I44" s="68"/>
      <c r="J44" s="114"/>
      <c r="K44" s="117"/>
    </row>
    <row r="45" spans="1:11" ht="12.75" customHeight="1">
      <c r="A45" s="118"/>
      <c r="B45" s="94" t="s">
        <v>89</v>
      </c>
      <c r="C45" s="93"/>
      <c r="D45" s="69">
        <v>-1</v>
      </c>
      <c r="E45" s="68">
        <v>1.6</v>
      </c>
      <c r="F45" s="68">
        <v>1.6</v>
      </c>
      <c r="G45" s="68">
        <f>1.1+0.4</f>
        <v>1.5</v>
      </c>
      <c r="H45" s="68">
        <f t="shared" si="5"/>
        <v>-3.8400000000000007</v>
      </c>
      <c r="I45" s="68"/>
      <c r="J45" s="114"/>
      <c r="K45" s="117"/>
    </row>
    <row r="46" spans="1:11" ht="12.75" customHeight="1">
      <c r="A46" s="118"/>
      <c r="B46" s="119" t="s">
        <v>137</v>
      </c>
      <c r="C46" s="93"/>
      <c r="D46" s="69"/>
      <c r="E46" s="68"/>
      <c r="F46" s="68"/>
      <c r="G46" s="68"/>
      <c r="H46" s="68"/>
      <c r="I46" s="68"/>
      <c r="J46" s="114"/>
      <c r="K46" s="117"/>
    </row>
    <row r="47" spans="1:11" ht="12.75" customHeight="1">
      <c r="A47" s="118"/>
      <c r="B47" s="94" t="s">
        <v>88</v>
      </c>
      <c r="C47" s="93"/>
      <c r="D47" s="69">
        <v>1</v>
      </c>
      <c r="E47" s="68">
        <f>2.2+0.3</f>
        <v>2.5</v>
      </c>
      <c r="F47" s="68">
        <f>2.2+0.3</f>
        <v>2.5</v>
      </c>
      <c r="G47" s="68">
        <f>1.2+0.4</f>
        <v>1.6</v>
      </c>
      <c r="H47" s="68">
        <f t="shared" ref="H47" si="6">PRODUCT(D47:G47)</f>
        <v>10</v>
      </c>
      <c r="I47" s="68"/>
      <c r="J47" s="114"/>
      <c r="K47" s="117"/>
    </row>
    <row r="48" spans="1:11" ht="12.75" customHeight="1">
      <c r="A48" s="118"/>
      <c r="B48" s="94" t="s">
        <v>89</v>
      </c>
      <c r="C48" s="93"/>
      <c r="D48" s="69">
        <v>-1</v>
      </c>
      <c r="E48" s="68">
        <v>1.6</v>
      </c>
      <c r="F48" s="68">
        <v>1.6</v>
      </c>
      <c r="G48" s="68">
        <f>1.2+0.4</f>
        <v>1.6</v>
      </c>
      <c r="H48" s="68">
        <f>PRODUCT(D48:G48)</f>
        <v>-4.096000000000001</v>
      </c>
      <c r="I48" s="68"/>
      <c r="J48" s="114"/>
      <c r="K48" s="117"/>
    </row>
    <row r="49" spans="1:11" ht="12.75" customHeight="1">
      <c r="A49" s="118"/>
      <c r="B49" s="119" t="s">
        <v>138</v>
      </c>
      <c r="C49" s="93"/>
      <c r="D49" s="69"/>
      <c r="E49" s="68"/>
      <c r="F49" s="68"/>
      <c r="G49" s="68"/>
      <c r="H49" s="68"/>
      <c r="I49" s="68"/>
      <c r="J49" s="114"/>
      <c r="K49" s="117"/>
    </row>
    <row r="50" spans="1:11" ht="12.75" customHeight="1">
      <c r="A50" s="118"/>
      <c r="B50" s="94" t="s">
        <v>88</v>
      </c>
      <c r="C50" s="93"/>
      <c r="D50" s="69">
        <v>1</v>
      </c>
      <c r="E50" s="68">
        <f>2.45+0.3</f>
        <v>2.75</v>
      </c>
      <c r="F50" s="68">
        <f>2.45+0.3</f>
        <v>2.75</v>
      </c>
      <c r="G50" s="68">
        <f>1.2+0.5</f>
        <v>1.7</v>
      </c>
      <c r="H50" s="68">
        <f t="shared" ref="H50:H51" si="7">PRODUCT(D50:G50)</f>
        <v>12.856249999999999</v>
      </c>
      <c r="I50" s="68"/>
      <c r="J50" s="114"/>
      <c r="K50" s="117"/>
    </row>
    <row r="51" spans="1:11" ht="12.75" customHeight="1">
      <c r="A51" s="118"/>
      <c r="B51" s="94" t="s">
        <v>89</v>
      </c>
      <c r="C51" s="93"/>
      <c r="D51" s="69">
        <v>-1</v>
      </c>
      <c r="E51" s="68">
        <v>1.8</v>
      </c>
      <c r="F51" s="68">
        <v>1.8</v>
      </c>
      <c r="G51" s="68">
        <f>1.2+0.5</f>
        <v>1.7</v>
      </c>
      <c r="H51" s="68">
        <f t="shared" si="7"/>
        <v>-5.508</v>
      </c>
      <c r="I51" s="68"/>
      <c r="J51" s="114"/>
      <c r="K51" s="117"/>
    </row>
    <row r="52" spans="1:11" ht="12.75" customHeight="1">
      <c r="A52" s="118"/>
      <c r="B52" s="119" t="s">
        <v>139</v>
      </c>
      <c r="C52" s="93"/>
      <c r="D52" s="69"/>
      <c r="E52" s="68"/>
      <c r="F52" s="68"/>
      <c r="G52" s="68"/>
      <c r="H52" s="68"/>
      <c r="I52" s="68"/>
      <c r="J52" s="114"/>
      <c r="K52" s="117"/>
    </row>
    <row r="53" spans="1:11" ht="12.75" customHeight="1">
      <c r="A53" s="118"/>
      <c r="B53" s="94" t="s">
        <v>88</v>
      </c>
      <c r="C53" s="93"/>
      <c r="D53" s="69">
        <v>1</v>
      </c>
      <c r="E53" s="68">
        <f>1.9+0.3</f>
        <v>2.1999999999999997</v>
      </c>
      <c r="F53" s="68">
        <f>1.9+0.3</f>
        <v>2.1999999999999997</v>
      </c>
      <c r="G53" s="68">
        <f>1.1+0.4</f>
        <v>1.5</v>
      </c>
      <c r="H53" s="68">
        <f t="shared" ref="H53:H54" si="8">PRODUCT(D53:G53)</f>
        <v>7.259999999999998</v>
      </c>
      <c r="I53" s="68"/>
      <c r="J53" s="114"/>
      <c r="K53" s="117"/>
    </row>
    <row r="54" spans="1:11" ht="12.75" customHeight="1">
      <c r="A54" s="118"/>
      <c r="B54" s="94" t="s">
        <v>89</v>
      </c>
      <c r="C54" s="93"/>
      <c r="D54" s="69">
        <v>-1</v>
      </c>
      <c r="E54" s="68">
        <v>1.6</v>
      </c>
      <c r="F54" s="68">
        <v>1.6</v>
      </c>
      <c r="G54" s="68">
        <f>1.1+0.4</f>
        <v>1.5</v>
      </c>
      <c r="H54" s="68">
        <f t="shared" si="8"/>
        <v>-3.8400000000000007</v>
      </c>
      <c r="I54" s="68"/>
      <c r="J54" s="114"/>
      <c r="K54" s="117"/>
    </row>
    <row r="55" spans="1:11" ht="12.75" customHeight="1">
      <c r="A55" s="118"/>
      <c r="B55" s="119" t="s">
        <v>140</v>
      </c>
      <c r="C55" s="93"/>
      <c r="D55" s="69"/>
      <c r="E55" s="68"/>
      <c r="F55" s="68"/>
      <c r="G55" s="68"/>
      <c r="H55" s="68"/>
      <c r="I55" s="68"/>
      <c r="J55" s="114"/>
      <c r="K55" s="117"/>
    </row>
    <row r="56" spans="1:11" ht="12.75" customHeight="1">
      <c r="A56" s="118"/>
      <c r="B56" s="94" t="s">
        <v>88</v>
      </c>
      <c r="C56" s="93"/>
      <c r="D56" s="69">
        <v>1</v>
      </c>
      <c r="E56" s="68">
        <f>1.9+0.3</f>
        <v>2.1999999999999997</v>
      </c>
      <c r="F56" s="68">
        <f>1.9+0.3</f>
        <v>2.1999999999999997</v>
      </c>
      <c r="G56" s="68">
        <f>1.2+0.3</f>
        <v>1.5</v>
      </c>
      <c r="H56" s="68">
        <f t="shared" ref="H56:H57" si="9">PRODUCT(D56:G56)</f>
        <v>7.259999999999998</v>
      </c>
      <c r="I56" s="68"/>
      <c r="J56" s="114"/>
      <c r="K56" s="117"/>
    </row>
    <row r="57" spans="1:11" ht="12.75" customHeight="1">
      <c r="A57" s="118"/>
      <c r="B57" s="94" t="s">
        <v>89</v>
      </c>
      <c r="C57" s="93"/>
      <c r="D57" s="69">
        <v>-1</v>
      </c>
      <c r="E57" s="68">
        <v>1</v>
      </c>
      <c r="F57" s="68">
        <v>1</v>
      </c>
      <c r="G57" s="68">
        <f>1.2+0.3</f>
        <v>1.5</v>
      </c>
      <c r="H57" s="68">
        <f t="shared" si="9"/>
        <v>-1.5</v>
      </c>
      <c r="I57" s="68"/>
      <c r="J57" s="114"/>
      <c r="K57" s="117"/>
    </row>
    <row r="58" spans="1:11" ht="12.75" customHeight="1" thickBot="1">
      <c r="A58" s="143"/>
      <c r="B58" s="147"/>
      <c r="C58" s="144"/>
      <c r="D58" s="95"/>
      <c r="E58" s="92"/>
      <c r="F58" s="92"/>
      <c r="G58" s="92"/>
      <c r="H58" s="92"/>
      <c r="I58" s="92"/>
      <c r="J58" s="145"/>
      <c r="K58" s="146"/>
    </row>
    <row r="59" spans="1:11" ht="12.75" customHeight="1" thickTop="1">
      <c r="A59" s="91"/>
      <c r="B59" s="90"/>
      <c r="C59" s="90"/>
      <c r="D59" s="90"/>
      <c r="E59" s="90"/>
      <c r="F59" s="90"/>
      <c r="G59" s="90"/>
      <c r="H59" s="90"/>
      <c r="I59" s="90"/>
      <c r="J59" s="90"/>
      <c r="K59" s="89"/>
    </row>
    <row r="60" spans="1:11" ht="15" customHeight="1">
      <c r="A60" s="569" t="s">
        <v>29</v>
      </c>
      <c r="B60" s="570"/>
      <c r="C60" s="570"/>
      <c r="D60" s="570"/>
      <c r="E60" s="570"/>
      <c r="F60" s="570"/>
      <c r="G60" s="570"/>
      <c r="H60" s="570"/>
      <c r="I60" s="570"/>
      <c r="J60" s="570"/>
      <c r="K60" s="571"/>
    </row>
    <row r="61" spans="1:11" ht="17.25" customHeight="1">
      <c r="A61" s="572" t="s">
        <v>69</v>
      </c>
      <c r="B61" s="573"/>
      <c r="C61" s="573"/>
      <c r="D61" s="573"/>
      <c r="E61" s="573"/>
      <c r="F61" s="573"/>
      <c r="G61" s="573"/>
      <c r="H61" s="573"/>
      <c r="I61" s="573"/>
      <c r="J61" s="573"/>
      <c r="K61" s="574"/>
    </row>
    <row r="62" spans="1:11" ht="12.75" customHeight="1">
      <c r="A62" s="88"/>
      <c r="B62" s="85"/>
      <c r="C62" s="85"/>
      <c r="D62" s="85"/>
      <c r="E62" s="85"/>
      <c r="F62" s="85"/>
      <c r="G62" s="85"/>
      <c r="H62" s="85"/>
      <c r="I62" s="85"/>
      <c r="J62" s="85"/>
      <c r="K62" s="87"/>
    </row>
    <row r="63" spans="1:11" ht="8.25" customHeight="1">
      <c r="A63" s="55"/>
      <c r="B63" s="86"/>
      <c r="C63" s="86"/>
      <c r="D63" s="86"/>
      <c r="E63" s="86"/>
      <c r="F63" s="86"/>
      <c r="G63" s="86"/>
      <c r="H63" s="86"/>
      <c r="I63" s="86"/>
      <c r="J63" s="86"/>
      <c r="K63" s="81"/>
    </row>
    <row r="64" spans="1:11" ht="12.75" customHeight="1">
      <c r="A64" s="575" t="s">
        <v>68</v>
      </c>
      <c r="B64" s="576"/>
      <c r="C64" s="576"/>
      <c r="D64" s="576"/>
      <c r="E64" s="576"/>
      <c r="F64" s="576"/>
      <c r="G64" s="576"/>
      <c r="H64" s="576"/>
      <c r="I64" s="576"/>
      <c r="J64" s="576"/>
      <c r="K64" s="577"/>
    </row>
    <row r="65" spans="1:11" ht="6.75" customHeight="1">
      <c r="A65" s="55"/>
      <c r="B65" s="86"/>
      <c r="C65" s="86"/>
      <c r="D65" s="86"/>
      <c r="E65" s="86"/>
      <c r="F65" s="86"/>
      <c r="G65" s="86"/>
      <c r="H65" s="86"/>
      <c r="I65" s="86"/>
      <c r="J65" s="85"/>
      <c r="K65" s="81"/>
    </row>
    <row r="66" spans="1:11" ht="12.75" customHeight="1">
      <c r="A66" s="84"/>
      <c r="B66" s="83" t="s">
        <v>11</v>
      </c>
      <c r="C66" s="578" t="s">
        <v>361</v>
      </c>
      <c r="D66" s="579"/>
      <c r="E66" s="579"/>
      <c r="F66" s="579"/>
      <c r="G66" s="579"/>
      <c r="H66" s="579"/>
      <c r="I66" s="579"/>
      <c r="J66" s="580"/>
      <c r="K66" s="81"/>
    </row>
    <row r="67" spans="1:11" ht="6.75" customHeight="1">
      <c r="A67" s="80"/>
      <c r="K67" s="81"/>
    </row>
    <row r="68" spans="1:11" ht="12.75" customHeight="1">
      <c r="A68" s="80"/>
      <c r="B68" s="82" t="s">
        <v>67</v>
      </c>
      <c r="C68" s="581" t="s">
        <v>66</v>
      </c>
      <c r="D68" s="582"/>
      <c r="E68" s="582"/>
      <c r="F68" s="582"/>
      <c r="G68" s="582"/>
      <c r="H68" s="582"/>
      <c r="I68" s="582"/>
      <c r="J68" s="583"/>
      <c r="K68" s="81"/>
    </row>
    <row r="69" spans="1:11" ht="6" customHeight="1">
      <c r="A69" s="80"/>
      <c r="B69" s="79"/>
      <c r="D69" s="78"/>
      <c r="E69" s="78"/>
      <c r="F69" s="78"/>
      <c r="G69" s="78"/>
      <c r="H69" s="78"/>
      <c r="I69" s="78"/>
      <c r="K69" s="77"/>
    </row>
    <row r="70" spans="1:11" ht="12.75" customHeight="1">
      <c r="A70" s="584" t="s">
        <v>84</v>
      </c>
      <c r="B70" s="585" t="s">
        <v>83</v>
      </c>
      <c r="C70" s="585" t="s">
        <v>82</v>
      </c>
      <c r="D70" s="585" t="s">
        <v>81</v>
      </c>
      <c r="E70" s="564" t="s">
        <v>80</v>
      </c>
      <c r="F70" s="564"/>
      <c r="G70" s="564"/>
      <c r="H70" s="564" t="s">
        <v>79</v>
      </c>
      <c r="I70" s="564"/>
      <c r="J70" s="564"/>
      <c r="K70" s="565" t="s">
        <v>58</v>
      </c>
    </row>
    <row r="71" spans="1:11" ht="12.75" customHeight="1">
      <c r="A71" s="584"/>
      <c r="B71" s="585"/>
      <c r="C71" s="585"/>
      <c r="D71" s="585"/>
      <c r="E71" s="125" t="s">
        <v>78</v>
      </c>
      <c r="F71" s="125" t="s">
        <v>77</v>
      </c>
      <c r="G71" s="125" t="s">
        <v>76</v>
      </c>
      <c r="H71" s="125" t="s">
        <v>75</v>
      </c>
      <c r="I71" s="125" t="s">
        <v>74</v>
      </c>
      <c r="J71" s="125" t="s">
        <v>73</v>
      </c>
      <c r="K71" s="565"/>
    </row>
    <row r="72" spans="1:11" ht="12.75" customHeight="1">
      <c r="A72" s="584"/>
      <c r="B72" s="585"/>
      <c r="C72" s="585"/>
      <c r="D72" s="585"/>
      <c r="E72" s="125" t="s">
        <v>70</v>
      </c>
      <c r="F72" s="125" t="s">
        <v>70</v>
      </c>
      <c r="G72" s="125" t="s">
        <v>70</v>
      </c>
      <c r="H72" s="125" t="s">
        <v>72</v>
      </c>
      <c r="I72" s="125" t="s">
        <v>71</v>
      </c>
      <c r="J72" s="125" t="s">
        <v>70</v>
      </c>
      <c r="K72" s="565"/>
    </row>
    <row r="73" spans="1:11" ht="12.75" customHeight="1">
      <c r="A73" s="66">
        <v>5</v>
      </c>
      <c r="B73" s="65" t="s">
        <v>107</v>
      </c>
      <c r="C73" s="64" t="s">
        <v>48</v>
      </c>
      <c r="D73" s="76"/>
      <c r="E73" s="75"/>
      <c r="F73" s="75"/>
      <c r="G73" s="75"/>
      <c r="H73" s="75"/>
      <c r="I73" s="75"/>
      <c r="J73" s="74"/>
      <c r="K73" s="63">
        <f>SUM(H74:H81)</f>
        <v>138.94499999999999</v>
      </c>
    </row>
    <row r="74" spans="1:11" ht="12.6" customHeight="1">
      <c r="A74" s="108"/>
      <c r="B74" s="105" t="s">
        <v>92</v>
      </c>
      <c r="C74" s="104"/>
      <c r="D74" s="73">
        <v>1</v>
      </c>
      <c r="E74" s="72">
        <v>2.7</v>
      </c>
      <c r="F74" s="72">
        <v>2.7</v>
      </c>
      <c r="G74" s="72">
        <v>1.5</v>
      </c>
      <c r="H74" s="72">
        <f>PRODUCT(D74:G74)</f>
        <v>10.935000000000002</v>
      </c>
      <c r="I74" s="72"/>
      <c r="J74" s="124"/>
      <c r="K74" s="107"/>
    </row>
    <row r="75" spans="1:11" ht="12.6" customHeight="1">
      <c r="A75" s="118"/>
      <c r="B75" s="136" t="s">
        <v>93</v>
      </c>
      <c r="C75" s="93"/>
      <c r="D75" s="69">
        <v>2</v>
      </c>
      <c r="E75" s="68">
        <v>3.2</v>
      </c>
      <c r="F75" s="68">
        <v>3.2</v>
      </c>
      <c r="G75" s="68">
        <v>1.5</v>
      </c>
      <c r="H75" s="68">
        <f t="shared" ref="H75:H81" si="10">PRODUCT(D75:G75)</f>
        <v>30.720000000000006</v>
      </c>
      <c r="I75" s="68"/>
      <c r="J75" s="114"/>
      <c r="K75" s="117"/>
    </row>
    <row r="76" spans="1:11" ht="12.6" customHeight="1">
      <c r="A76" s="118"/>
      <c r="B76" s="119" t="s">
        <v>94</v>
      </c>
      <c r="C76" s="93"/>
      <c r="D76" s="69">
        <v>1</v>
      </c>
      <c r="E76" s="68">
        <v>2.7</v>
      </c>
      <c r="F76" s="68">
        <v>2.7</v>
      </c>
      <c r="G76" s="68">
        <v>1.5</v>
      </c>
      <c r="H76" s="68">
        <f t="shared" si="10"/>
        <v>10.935000000000002</v>
      </c>
      <c r="I76" s="68"/>
      <c r="J76" s="114"/>
      <c r="K76" s="117"/>
    </row>
    <row r="77" spans="1:11" ht="12.6" customHeight="1">
      <c r="A77" s="118"/>
      <c r="B77" s="119" t="s">
        <v>95</v>
      </c>
      <c r="C77" s="93"/>
      <c r="D77" s="69">
        <v>2</v>
      </c>
      <c r="E77" s="68">
        <v>3.3</v>
      </c>
      <c r="F77" s="68">
        <v>3.3</v>
      </c>
      <c r="G77" s="68">
        <v>1.5</v>
      </c>
      <c r="H77" s="68">
        <f t="shared" si="10"/>
        <v>32.669999999999995</v>
      </c>
      <c r="I77" s="68"/>
      <c r="J77" s="114"/>
      <c r="K77" s="117"/>
    </row>
    <row r="78" spans="1:11" ht="12.6" customHeight="1">
      <c r="A78" s="118"/>
      <c r="B78" s="136" t="s">
        <v>96</v>
      </c>
      <c r="C78" s="93"/>
      <c r="D78" s="69">
        <v>1</v>
      </c>
      <c r="E78" s="68">
        <v>3.2</v>
      </c>
      <c r="F78" s="68">
        <v>3.2</v>
      </c>
      <c r="G78" s="68">
        <v>1.5</v>
      </c>
      <c r="H78" s="68">
        <f t="shared" si="10"/>
        <v>15.360000000000003</v>
      </c>
      <c r="I78" s="68"/>
      <c r="J78" s="114"/>
      <c r="K78" s="117"/>
    </row>
    <row r="79" spans="1:11" ht="12.6" customHeight="1">
      <c r="A79" s="118"/>
      <c r="B79" s="119" t="s">
        <v>97</v>
      </c>
      <c r="C79" s="93"/>
      <c r="D79" s="69">
        <v>1</v>
      </c>
      <c r="E79" s="68">
        <v>1.4</v>
      </c>
      <c r="F79" s="68">
        <v>1.4</v>
      </c>
      <c r="G79" s="68">
        <v>1.5</v>
      </c>
      <c r="H79" s="68">
        <f t="shared" si="10"/>
        <v>2.9399999999999995</v>
      </c>
      <c r="I79" s="68"/>
      <c r="J79" s="114"/>
      <c r="K79" s="117"/>
    </row>
    <row r="80" spans="1:11" ht="12.6" customHeight="1">
      <c r="A80" s="118"/>
      <c r="B80" s="119" t="s">
        <v>98</v>
      </c>
      <c r="C80" s="93"/>
      <c r="D80" s="69">
        <v>1</v>
      </c>
      <c r="E80" s="68">
        <v>2.2000000000000002</v>
      </c>
      <c r="F80" s="68">
        <v>2.2000000000000002</v>
      </c>
      <c r="G80" s="68">
        <v>1.5</v>
      </c>
      <c r="H80" s="68">
        <f t="shared" si="10"/>
        <v>7.2600000000000016</v>
      </c>
      <c r="I80" s="68"/>
      <c r="J80" s="114"/>
      <c r="K80" s="117"/>
    </row>
    <row r="81" spans="1:11" ht="12.6" customHeight="1">
      <c r="A81" s="116"/>
      <c r="B81" s="165" t="s">
        <v>99</v>
      </c>
      <c r="C81" s="162"/>
      <c r="D81" s="163">
        <v>3</v>
      </c>
      <c r="E81" s="67">
        <v>2.5</v>
      </c>
      <c r="F81" s="67">
        <v>2.5</v>
      </c>
      <c r="G81" s="67">
        <v>1.5</v>
      </c>
      <c r="H81" s="67">
        <f t="shared" si="10"/>
        <v>28.125</v>
      </c>
      <c r="I81" s="67"/>
      <c r="J81" s="128"/>
      <c r="K81" s="164"/>
    </row>
    <row r="82" spans="1:11" ht="24.75" customHeight="1">
      <c r="A82" s="66">
        <v>6</v>
      </c>
      <c r="B82" s="65" t="s">
        <v>108</v>
      </c>
      <c r="C82" s="64" t="s">
        <v>48</v>
      </c>
      <c r="D82" s="76"/>
      <c r="E82" s="75"/>
      <c r="F82" s="75"/>
      <c r="G82" s="75"/>
      <c r="H82" s="75"/>
      <c r="I82" s="75"/>
      <c r="J82" s="74"/>
      <c r="K82" s="63">
        <f>SUM(H83:H93)</f>
        <v>12.060375000000004</v>
      </c>
    </row>
    <row r="83" spans="1:11" ht="12.6" customHeight="1">
      <c r="A83" s="108"/>
      <c r="B83" s="105" t="s">
        <v>92</v>
      </c>
      <c r="C83" s="104"/>
      <c r="D83" s="73">
        <v>3</v>
      </c>
      <c r="E83" s="72">
        <v>2.7</v>
      </c>
      <c r="F83" s="72">
        <v>2.7</v>
      </c>
      <c r="G83" s="72">
        <v>0.05</v>
      </c>
      <c r="H83" s="72">
        <f>PRODUCT(D83:G83)</f>
        <v>1.0935000000000004</v>
      </c>
      <c r="I83" s="72"/>
      <c r="J83" s="124"/>
      <c r="K83" s="107"/>
    </row>
    <row r="84" spans="1:11" ht="12.6" customHeight="1">
      <c r="A84" s="118"/>
      <c r="B84" s="136" t="s">
        <v>93</v>
      </c>
      <c r="C84" s="93"/>
      <c r="D84" s="69">
        <v>3</v>
      </c>
      <c r="E84" s="68">
        <v>3.2</v>
      </c>
      <c r="F84" s="68">
        <v>3.2</v>
      </c>
      <c r="G84" s="68">
        <v>0.05</v>
      </c>
      <c r="H84" s="68">
        <f t="shared" ref="H84:H93" si="11">PRODUCT(D84:G84)</f>
        <v>1.5360000000000005</v>
      </c>
      <c r="I84" s="68"/>
      <c r="J84" s="114"/>
      <c r="K84" s="117"/>
    </row>
    <row r="85" spans="1:11" ht="12.6" customHeight="1">
      <c r="A85" s="118"/>
      <c r="B85" s="119" t="s">
        <v>94</v>
      </c>
      <c r="C85" s="93"/>
      <c r="D85" s="69">
        <v>3</v>
      </c>
      <c r="E85" s="68">
        <v>2.7</v>
      </c>
      <c r="F85" s="68">
        <v>2.7</v>
      </c>
      <c r="G85" s="68">
        <v>0.05</v>
      </c>
      <c r="H85" s="68">
        <f t="shared" si="11"/>
        <v>1.0935000000000004</v>
      </c>
      <c r="I85" s="68"/>
      <c r="J85" s="114"/>
      <c r="K85" s="117"/>
    </row>
    <row r="86" spans="1:11" ht="12.6" customHeight="1">
      <c r="A86" s="118"/>
      <c r="B86" s="119" t="s">
        <v>95</v>
      </c>
      <c r="C86" s="93"/>
      <c r="D86" s="69">
        <v>4</v>
      </c>
      <c r="E86" s="68">
        <v>3.3</v>
      </c>
      <c r="F86" s="68">
        <v>3.3</v>
      </c>
      <c r="G86" s="68">
        <v>0.05</v>
      </c>
      <c r="H86" s="68">
        <f t="shared" si="11"/>
        <v>2.1779999999999999</v>
      </c>
      <c r="I86" s="68"/>
      <c r="J86" s="114"/>
      <c r="K86" s="117"/>
    </row>
    <row r="87" spans="1:11" ht="12.6" customHeight="1">
      <c r="A87" s="118"/>
      <c r="B87" s="136" t="s">
        <v>96</v>
      </c>
      <c r="C87" s="93"/>
      <c r="D87" s="69">
        <v>3</v>
      </c>
      <c r="E87" s="68">
        <v>3.2</v>
      </c>
      <c r="F87" s="68">
        <v>3.2</v>
      </c>
      <c r="G87" s="68">
        <v>0.05</v>
      </c>
      <c r="H87" s="68">
        <f t="shared" si="11"/>
        <v>1.5360000000000005</v>
      </c>
      <c r="I87" s="68"/>
      <c r="J87" s="114"/>
      <c r="K87" s="117"/>
    </row>
    <row r="88" spans="1:11" ht="12.6" customHeight="1">
      <c r="A88" s="118"/>
      <c r="B88" s="119" t="s">
        <v>97</v>
      </c>
      <c r="C88" s="93"/>
      <c r="D88" s="69">
        <v>5</v>
      </c>
      <c r="E88" s="68">
        <v>1.4</v>
      </c>
      <c r="F88" s="68">
        <v>1.4</v>
      </c>
      <c r="G88" s="68">
        <v>0.05</v>
      </c>
      <c r="H88" s="68">
        <f t="shared" si="11"/>
        <v>0.49</v>
      </c>
      <c r="I88" s="68"/>
      <c r="J88" s="114"/>
      <c r="K88" s="117"/>
    </row>
    <row r="89" spans="1:11" ht="12.6" customHeight="1">
      <c r="A89" s="118"/>
      <c r="B89" s="119" t="s">
        <v>98</v>
      </c>
      <c r="C89" s="93"/>
      <c r="D89" s="69">
        <v>2</v>
      </c>
      <c r="E89" s="68">
        <v>2.2000000000000002</v>
      </c>
      <c r="F89" s="68">
        <v>2.2000000000000002</v>
      </c>
      <c r="G89" s="68">
        <v>0.05</v>
      </c>
      <c r="H89" s="68">
        <f t="shared" si="11"/>
        <v>0.4840000000000001</v>
      </c>
      <c r="I89" s="68"/>
      <c r="J89" s="114"/>
      <c r="K89" s="117"/>
    </row>
    <row r="90" spans="1:11" ht="12.6" customHeight="1">
      <c r="A90" s="118"/>
      <c r="B90" s="119" t="s">
        <v>99</v>
      </c>
      <c r="C90" s="93"/>
      <c r="D90" s="69">
        <v>4</v>
      </c>
      <c r="E90" s="68">
        <v>2.5</v>
      </c>
      <c r="F90" s="68">
        <v>2.5</v>
      </c>
      <c r="G90" s="68">
        <v>0.05</v>
      </c>
      <c r="H90" s="68">
        <f t="shared" si="11"/>
        <v>1.25</v>
      </c>
      <c r="I90" s="68"/>
      <c r="J90" s="114"/>
      <c r="K90" s="117"/>
    </row>
    <row r="91" spans="1:11" ht="12.6" customHeight="1">
      <c r="A91" s="118"/>
      <c r="B91" s="119" t="s">
        <v>100</v>
      </c>
      <c r="C91" s="93"/>
      <c r="D91" s="69">
        <v>2</v>
      </c>
      <c r="E91" s="68">
        <v>2.8</v>
      </c>
      <c r="F91" s="68">
        <v>2.8</v>
      </c>
      <c r="G91" s="68">
        <v>0.05</v>
      </c>
      <c r="H91" s="68">
        <f t="shared" si="11"/>
        <v>0.78399999999999992</v>
      </c>
      <c r="I91" s="68"/>
      <c r="J91" s="114"/>
      <c r="K91" s="117"/>
    </row>
    <row r="92" spans="1:11" ht="12.6" customHeight="1">
      <c r="A92" s="118"/>
      <c r="B92" s="119" t="s">
        <v>101</v>
      </c>
      <c r="C92" s="93"/>
      <c r="D92" s="69">
        <v>2</v>
      </c>
      <c r="E92" s="68">
        <v>3.4</v>
      </c>
      <c r="F92" s="68">
        <v>3.4</v>
      </c>
      <c r="G92" s="68">
        <v>0.05</v>
      </c>
      <c r="H92" s="68">
        <f t="shared" si="11"/>
        <v>1.1559999999999999</v>
      </c>
      <c r="I92" s="68"/>
      <c r="J92" s="114"/>
      <c r="K92" s="117"/>
    </row>
    <row r="93" spans="1:11" ht="12.6" customHeight="1">
      <c r="A93" s="115"/>
      <c r="B93" s="142" t="s">
        <v>102</v>
      </c>
      <c r="C93" s="140"/>
      <c r="D93" s="71">
        <v>3</v>
      </c>
      <c r="E93" s="70">
        <v>1.75</v>
      </c>
      <c r="F93" s="70">
        <v>1.75</v>
      </c>
      <c r="G93" s="70">
        <v>0.05</v>
      </c>
      <c r="H93" s="70">
        <f t="shared" si="11"/>
        <v>0.45937500000000003</v>
      </c>
      <c r="I93" s="70"/>
      <c r="J93" s="141"/>
      <c r="K93" s="113"/>
    </row>
    <row r="94" spans="1:11" ht="12.75" customHeight="1">
      <c r="A94" s="66">
        <v>7</v>
      </c>
      <c r="B94" s="65" t="s">
        <v>119</v>
      </c>
      <c r="C94" s="64" t="s">
        <v>48</v>
      </c>
      <c r="D94" s="76"/>
      <c r="E94" s="75"/>
      <c r="F94" s="75"/>
      <c r="G94" s="75"/>
      <c r="H94" s="75"/>
      <c r="I94" s="75"/>
      <c r="J94" s="74"/>
      <c r="K94" s="63">
        <f>SUM(H95:H117)+SUM(H133:H175)+SUM(H191:H234)+SUM(H250:H293)+SUM(H309:H352)+SUM(H368:H374)</f>
        <v>641.08116718361225</v>
      </c>
    </row>
    <row r="95" spans="1:11" ht="12.75" customHeight="1">
      <c r="A95" s="108"/>
      <c r="B95" s="105" t="s">
        <v>291</v>
      </c>
      <c r="C95" s="104"/>
      <c r="D95" s="73"/>
      <c r="E95" s="72"/>
      <c r="F95" s="72"/>
      <c r="G95" s="72"/>
      <c r="H95" s="72"/>
      <c r="I95" s="72"/>
      <c r="J95" s="124"/>
      <c r="K95" s="107"/>
    </row>
    <row r="96" spans="1:11" ht="12.75" customHeight="1">
      <c r="A96" s="129"/>
      <c r="B96" s="138" t="s">
        <v>130</v>
      </c>
      <c r="C96" s="139"/>
      <c r="D96" s="110"/>
      <c r="E96" s="109"/>
      <c r="F96" s="109"/>
      <c r="G96" s="109"/>
      <c r="H96" s="109"/>
      <c r="I96" s="109"/>
      <c r="J96" s="135"/>
      <c r="K96" s="130"/>
    </row>
    <row r="97" spans="1:11" ht="12.75" customHeight="1">
      <c r="A97" s="118"/>
      <c r="B97" s="94" t="s">
        <v>85</v>
      </c>
      <c r="C97" s="93"/>
      <c r="D97" s="69">
        <v>1</v>
      </c>
      <c r="E97" s="68">
        <f>1.5+0.3</f>
        <v>1.8</v>
      </c>
      <c r="F97" s="68">
        <f>1.5+0.3</f>
        <v>1.8</v>
      </c>
      <c r="G97" s="68">
        <f>1+0.3</f>
        <v>1.3</v>
      </c>
      <c r="H97" s="68">
        <f>PRODUCT(D97:G97)</f>
        <v>4.2120000000000006</v>
      </c>
      <c r="I97" s="68"/>
      <c r="J97" s="114"/>
      <c r="K97" s="117"/>
    </row>
    <row r="98" spans="1:11" ht="12.75" customHeight="1">
      <c r="A98" s="118"/>
      <c r="B98" s="94" t="s">
        <v>110</v>
      </c>
      <c r="C98" s="93"/>
      <c r="D98" s="69">
        <v>-1</v>
      </c>
      <c r="E98" s="68">
        <v>1.5</v>
      </c>
      <c r="F98" s="68">
        <v>1.5</v>
      </c>
      <c r="G98" s="68">
        <v>0.4</v>
      </c>
      <c r="H98" s="68">
        <f>PRODUCT(D98:G98)</f>
        <v>-0.9</v>
      </c>
      <c r="I98" s="68"/>
      <c r="J98" s="114"/>
      <c r="K98" s="117"/>
    </row>
    <row r="99" spans="1:11" ht="12.75" customHeight="1">
      <c r="A99" s="118"/>
      <c r="B99" s="94" t="s">
        <v>129</v>
      </c>
      <c r="C99" s="93"/>
      <c r="D99" s="69">
        <v>-1</v>
      </c>
      <c r="E99" s="68">
        <v>0.3</v>
      </c>
      <c r="F99" s="68">
        <v>0.3</v>
      </c>
      <c r="G99" s="68">
        <f>G97-G98</f>
        <v>0.9</v>
      </c>
      <c r="H99" s="68">
        <f>PRODUCT(D99:G99)</f>
        <v>-8.1000000000000003E-2</v>
      </c>
      <c r="I99" s="68"/>
      <c r="J99" s="114"/>
      <c r="K99" s="117"/>
    </row>
    <row r="100" spans="1:11" ht="12.75" customHeight="1">
      <c r="A100" s="118"/>
      <c r="B100" s="119" t="s">
        <v>131</v>
      </c>
      <c r="C100" s="93"/>
      <c r="D100" s="69"/>
      <c r="E100" s="68"/>
      <c r="F100" s="68"/>
      <c r="G100" s="68"/>
      <c r="H100" s="68"/>
      <c r="I100" s="68"/>
      <c r="J100" s="114"/>
      <c r="K100" s="117"/>
    </row>
    <row r="101" spans="1:11" ht="12.75" customHeight="1">
      <c r="A101" s="118"/>
      <c r="B101" s="94" t="s">
        <v>85</v>
      </c>
      <c r="C101" s="93"/>
      <c r="D101" s="69">
        <v>1</v>
      </c>
      <c r="E101" s="68">
        <f>2+0.3</f>
        <v>2.2999999999999998</v>
      </c>
      <c r="F101" s="68">
        <f>2+0.3</f>
        <v>2.2999999999999998</v>
      </c>
      <c r="G101" s="68">
        <f>1.1+0.3</f>
        <v>1.4000000000000001</v>
      </c>
      <c r="H101" s="68">
        <f t="shared" ref="H101:H103" si="12">PRODUCT(D101:G101)</f>
        <v>7.4059999999999997</v>
      </c>
      <c r="I101" s="68"/>
      <c r="J101" s="114"/>
      <c r="K101" s="117"/>
    </row>
    <row r="102" spans="1:11" ht="12.75" customHeight="1">
      <c r="A102" s="118"/>
      <c r="B102" s="94" t="s">
        <v>110</v>
      </c>
      <c r="C102" s="93"/>
      <c r="D102" s="69">
        <v>-1</v>
      </c>
      <c r="E102" s="68">
        <v>2</v>
      </c>
      <c r="F102" s="68">
        <v>2</v>
      </c>
      <c r="G102" s="68">
        <v>0.45</v>
      </c>
      <c r="H102" s="68">
        <f t="shared" si="12"/>
        <v>-1.8</v>
      </c>
      <c r="I102" s="68"/>
      <c r="J102" s="114"/>
      <c r="K102" s="117"/>
    </row>
    <row r="103" spans="1:11" ht="12.75" customHeight="1">
      <c r="A103" s="118"/>
      <c r="B103" s="94" t="s">
        <v>129</v>
      </c>
      <c r="C103" s="93"/>
      <c r="D103" s="69">
        <v>-1</v>
      </c>
      <c r="E103" s="68">
        <v>0.3</v>
      </c>
      <c r="F103" s="68">
        <v>0.3</v>
      </c>
      <c r="G103" s="68">
        <f>G101-G102</f>
        <v>0.95000000000000018</v>
      </c>
      <c r="H103" s="68">
        <f t="shared" si="12"/>
        <v>-8.5500000000000007E-2</v>
      </c>
      <c r="I103" s="68"/>
      <c r="J103" s="114"/>
      <c r="K103" s="117"/>
    </row>
    <row r="104" spans="1:11" ht="12.75" customHeight="1">
      <c r="A104" s="118"/>
      <c r="B104" s="119" t="s">
        <v>132</v>
      </c>
      <c r="C104" s="93"/>
      <c r="D104" s="69"/>
      <c r="E104" s="68"/>
      <c r="F104" s="68"/>
      <c r="G104" s="68"/>
      <c r="H104" s="68"/>
      <c r="I104" s="68"/>
      <c r="J104" s="114"/>
      <c r="K104" s="117"/>
    </row>
    <row r="105" spans="1:11" ht="12.75" customHeight="1">
      <c r="A105" s="118"/>
      <c r="B105" s="94" t="s">
        <v>85</v>
      </c>
      <c r="C105" s="93"/>
      <c r="D105" s="69">
        <v>1</v>
      </c>
      <c r="E105" s="68">
        <f>2.2+0.3</f>
        <v>2.5</v>
      </c>
      <c r="F105" s="68">
        <f>2.2+0.3</f>
        <v>2.5</v>
      </c>
      <c r="G105" s="68">
        <f>1.1+0.5</f>
        <v>1.6</v>
      </c>
      <c r="H105" s="68">
        <f t="shared" ref="H105:H107" si="13">PRODUCT(D105:G105)</f>
        <v>10</v>
      </c>
      <c r="I105" s="68"/>
      <c r="J105" s="114"/>
      <c r="K105" s="117"/>
    </row>
    <row r="106" spans="1:11" ht="12.75" customHeight="1">
      <c r="A106" s="118"/>
      <c r="B106" s="94" t="s">
        <v>110</v>
      </c>
      <c r="C106" s="93"/>
      <c r="D106" s="69">
        <v>-1</v>
      </c>
      <c r="E106" s="68">
        <v>2.2000000000000002</v>
      </c>
      <c r="F106" s="68">
        <v>2.2000000000000002</v>
      </c>
      <c r="G106" s="68">
        <v>0.6</v>
      </c>
      <c r="H106" s="68">
        <f t="shared" si="13"/>
        <v>-2.9040000000000004</v>
      </c>
      <c r="I106" s="68"/>
      <c r="J106" s="114"/>
      <c r="K106" s="117"/>
    </row>
    <row r="107" spans="1:11" ht="12.75" customHeight="1">
      <c r="A107" s="118"/>
      <c r="B107" s="94" t="s">
        <v>129</v>
      </c>
      <c r="C107" s="93"/>
      <c r="D107" s="69">
        <v>-1</v>
      </c>
      <c r="E107" s="68">
        <v>0.3</v>
      </c>
      <c r="F107" s="68">
        <v>0.3</v>
      </c>
      <c r="G107" s="68">
        <f>G105-G106</f>
        <v>1</v>
      </c>
      <c r="H107" s="68">
        <f t="shared" si="13"/>
        <v>-0.09</v>
      </c>
      <c r="I107" s="68"/>
      <c r="J107" s="114"/>
      <c r="K107" s="117"/>
    </row>
    <row r="108" spans="1:11" ht="12.75" customHeight="1">
      <c r="A108" s="118"/>
      <c r="B108" s="119" t="s">
        <v>133</v>
      </c>
      <c r="C108" s="93"/>
      <c r="D108" s="69"/>
      <c r="E108" s="68"/>
      <c r="F108" s="68"/>
      <c r="G108" s="68"/>
      <c r="H108" s="68"/>
      <c r="I108" s="68"/>
      <c r="J108" s="114"/>
      <c r="K108" s="117"/>
    </row>
    <row r="109" spans="1:11" ht="12.75" customHeight="1">
      <c r="A109" s="118"/>
      <c r="B109" s="94" t="s">
        <v>85</v>
      </c>
      <c r="C109" s="93"/>
      <c r="D109" s="69">
        <v>1</v>
      </c>
      <c r="E109" s="68">
        <f>2.6+0.3</f>
        <v>2.9</v>
      </c>
      <c r="F109" s="68">
        <f>2.6+0.3</f>
        <v>2.9</v>
      </c>
      <c r="G109" s="68">
        <f>1.4+0.4</f>
        <v>1.7999999999999998</v>
      </c>
      <c r="H109" s="68">
        <f t="shared" ref="H109:H111" si="14">PRODUCT(D109:G109)</f>
        <v>15.137999999999998</v>
      </c>
      <c r="I109" s="68"/>
      <c r="J109" s="114"/>
      <c r="K109" s="117"/>
    </row>
    <row r="110" spans="1:11" ht="12.75" customHeight="1">
      <c r="A110" s="118"/>
      <c r="B110" s="94" t="s">
        <v>110</v>
      </c>
      <c r="C110" s="93"/>
      <c r="D110" s="69">
        <v>-1</v>
      </c>
      <c r="E110" s="68">
        <v>2.6</v>
      </c>
      <c r="F110" s="68">
        <v>2.6</v>
      </c>
      <c r="G110" s="68">
        <v>0.6</v>
      </c>
      <c r="H110" s="68">
        <f t="shared" si="14"/>
        <v>-4.056</v>
      </c>
      <c r="I110" s="68"/>
      <c r="J110" s="114"/>
      <c r="K110" s="117"/>
    </row>
    <row r="111" spans="1:11" ht="12.75" customHeight="1">
      <c r="A111" s="118"/>
      <c r="B111" s="94" t="s">
        <v>129</v>
      </c>
      <c r="C111" s="93"/>
      <c r="D111" s="69">
        <v>-1</v>
      </c>
      <c r="E111" s="68">
        <v>0.3</v>
      </c>
      <c r="F111" s="68">
        <v>0.5</v>
      </c>
      <c r="G111" s="68">
        <f>G109-G110</f>
        <v>1.1999999999999997</v>
      </c>
      <c r="H111" s="68">
        <f t="shared" si="14"/>
        <v>-0.17999999999999997</v>
      </c>
      <c r="I111" s="68"/>
      <c r="J111" s="114"/>
      <c r="K111" s="117"/>
    </row>
    <row r="112" spans="1:11" ht="12.75" customHeight="1">
      <c r="A112" s="118"/>
      <c r="B112" s="119" t="s">
        <v>134</v>
      </c>
      <c r="C112" s="93"/>
      <c r="D112" s="69"/>
      <c r="E112" s="68"/>
      <c r="F112" s="68"/>
      <c r="G112" s="68"/>
      <c r="H112" s="68"/>
      <c r="I112" s="68"/>
      <c r="J112" s="114"/>
      <c r="K112" s="117"/>
    </row>
    <row r="113" spans="1:11" ht="12.75" customHeight="1">
      <c r="A113" s="118"/>
      <c r="B113" s="94" t="s">
        <v>85</v>
      </c>
      <c r="C113" s="93"/>
      <c r="D113" s="69">
        <v>1</v>
      </c>
      <c r="E113" s="68">
        <f>2.2+0.3</f>
        <v>2.5</v>
      </c>
      <c r="F113" s="68">
        <f>2.2+0.3</f>
        <v>2.5</v>
      </c>
      <c r="G113" s="68">
        <f>1.5+0.45</f>
        <v>1.95</v>
      </c>
      <c r="H113" s="68">
        <f t="shared" ref="H113:H115" si="15">PRODUCT(D113:G113)</f>
        <v>12.1875</v>
      </c>
      <c r="I113" s="68"/>
      <c r="J113" s="114"/>
      <c r="K113" s="117"/>
    </row>
    <row r="114" spans="1:11" ht="12.75" customHeight="1">
      <c r="A114" s="116"/>
      <c r="B114" s="94" t="s">
        <v>110</v>
      </c>
      <c r="C114" s="93"/>
      <c r="D114" s="69">
        <v>-1</v>
      </c>
      <c r="E114" s="67">
        <v>2.2000000000000002</v>
      </c>
      <c r="F114" s="67">
        <v>2.2000000000000002</v>
      </c>
      <c r="G114" s="67">
        <v>0.55000000000000004</v>
      </c>
      <c r="H114" s="68">
        <f t="shared" si="15"/>
        <v>-2.6620000000000008</v>
      </c>
      <c r="I114" s="67"/>
      <c r="J114" s="128"/>
      <c r="K114" s="117"/>
    </row>
    <row r="115" spans="1:11" ht="12.75" customHeight="1">
      <c r="A115" s="116"/>
      <c r="B115" s="94" t="s">
        <v>129</v>
      </c>
      <c r="C115" s="93"/>
      <c r="D115" s="69">
        <v>-1</v>
      </c>
      <c r="E115" s="67">
        <v>0.3</v>
      </c>
      <c r="F115" s="67">
        <v>0.4</v>
      </c>
      <c r="G115" s="67">
        <f>G113-G114</f>
        <v>1.4</v>
      </c>
      <c r="H115" s="68">
        <f t="shared" si="15"/>
        <v>-0.16799999999999998</v>
      </c>
      <c r="I115" s="67"/>
      <c r="J115" s="128"/>
      <c r="K115" s="117"/>
    </row>
    <row r="116" spans="1:11" ht="12.75" customHeight="1">
      <c r="A116" s="118"/>
      <c r="B116" s="119" t="s">
        <v>135</v>
      </c>
      <c r="C116" s="93"/>
      <c r="D116" s="69"/>
      <c r="E116" s="68"/>
      <c r="F116" s="68"/>
      <c r="G116" s="68"/>
      <c r="H116" s="68"/>
      <c r="I116" s="68"/>
      <c r="J116" s="114"/>
      <c r="K116" s="117"/>
    </row>
    <row r="117" spans="1:11" ht="12.75" customHeight="1" thickBot="1">
      <c r="A117" s="254"/>
      <c r="B117" s="255" t="s">
        <v>85</v>
      </c>
      <c r="C117" s="256"/>
      <c r="D117" s="257">
        <v>1</v>
      </c>
      <c r="E117" s="258">
        <f>1.6+0.3</f>
        <v>1.9000000000000001</v>
      </c>
      <c r="F117" s="258">
        <f>1.6+0.3</f>
        <v>1.9000000000000001</v>
      </c>
      <c r="G117" s="258">
        <f>0.9+0.3</f>
        <v>1.2</v>
      </c>
      <c r="H117" s="258">
        <f t="shared" ref="H117:H134" si="16">PRODUCT(D117:G117)</f>
        <v>4.3319999999999999</v>
      </c>
      <c r="I117" s="258"/>
      <c r="J117" s="259"/>
      <c r="K117" s="260"/>
    </row>
    <row r="118" spans="1:11" ht="12.75" customHeight="1" thickTop="1">
      <c r="A118" s="91"/>
      <c r="B118" s="90"/>
      <c r="C118" s="90"/>
      <c r="D118" s="90"/>
      <c r="E118" s="90"/>
      <c r="F118" s="90"/>
      <c r="G118" s="90"/>
      <c r="H118" s="90"/>
      <c r="I118" s="90"/>
      <c r="J118" s="90"/>
      <c r="K118" s="89"/>
    </row>
    <row r="119" spans="1:11" ht="21" customHeight="1">
      <c r="A119" s="569" t="s">
        <v>29</v>
      </c>
      <c r="B119" s="570"/>
      <c r="C119" s="570"/>
      <c r="D119" s="570"/>
      <c r="E119" s="570"/>
      <c r="F119" s="570"/>
      <c r="G119" s="570"/>
      <c r="H119" s="570"/>
      <c r="I119" s="570"/>
      <c r="J119" s="570"/>
      <c r="K119" s="571"/>
    </row>
    <row r="120" spans="1:11" ht="19.5" customHeight="1">
      <c r="A120" s="572" t="s">
        <v>69</v>
      </c>
      <c r="B120" s="573"/>
      <c r="C120" s="573"/>
      <c r="D120" s="573"/>
      <c r="E120" s="573"/>
      <c r="F120" s="573"/>
      <c r="G120" s="573"/>
      <c r="H120" s="573"/>
      <c r="I120" s="573"/>
      <c r="J120" s="573"/>
      <c r="K120" s="574"/>
    </row>
    <row r="121" spans="1:11" ht="12.75" customHeight="1">
      <c r="A121" s="88"/>
      <c r="B121" s="85"/>
      <c r="C121" s="85"/>
      <c r="D121" s="85"/>
      <c r="E121" s="85"/>
      <c r="F121" s="85"/>
      <c r="G121" s="85"/>
      <c r="H121" s="85"/>
      <c r="I121" s="85"/>
      <c r="J121" s="85"/>
      <c r="K121" s="87"/>
    </row>
    <row r="122" spans="1:11" ht="12.75" customHeight="1">
      <c r="A122" s="55"/>
      <c r="B122" s="86"/>
      <c r="C122" s="86"/>
      <c r="D122" s="86"/>
      <c r="E122" s="86"/>
      <c r="F122" s="86"/>
      <c r="G122" s="86"/>
      <c r="H122" s="86"/>
      <c r="I122" s="86"/>
      <c r="J122" s="86"/>
      <c r="K122" s="81"/>
    </row>
    <row r="123" spans="1:11" ht="12.75" customHeight="1">
      <c r="A123" s="575" t="s">
        <v>68</v>
      </c>
      <c r="B123" s="576"/>
      <c r="C123" s="576"/>
      <c r="D123" s="576"/>
      <c r="E123" s="576"/>
      <c r="F123" s="576"/>
      <c r="G123" s="576"/>
      <c r="H123" s="576"/>
      <c r="I123" s="576"/>
      <c r="J123" s="576"/>
      <c r="K123" s="577"/>
    </row>
    <row r="124" spans="1:11" ht="6.75" customHeight="1">
      <c r="A124" s="55"/>
      <c r="B124" s="86"/>
      <c r="C124" s="86"/>
      <c r="D124" s="86"/>
      <c r="E124" s="86"/>
      <c r="F124" s="86"/>
      <c r="G124" s="86"/>
      <c r="H124" s="86"/>
      <c r="I124" s="86"/>
      <c r="J124" s="85"/>
      <c r="K124" s="81"/>
    </row>
    <row r="125" spans="1:11" ht="12.75" customHeight="1">
      <c r="A125" s="84"/>
      <c r="B125" s="83" t="s">
        <v>11</v>
      </c>
      <c r="C125" s="578" t="s">
        <v>361</v>
      </c>
      <c r="D125" s="579"/>
      <c r="E125" s="579"/>
      <c r="F125" s="579"/>
      <c r="G125" s="579"/>
      <c r="H125" s="579"/>
      <c r="I125" s="579"/>
      <c r="J125" s="580"/>
      <c r="K125" s="81"/>
    </row>
    <row r="126" spans="1:11" ht="7.5" customHeight="1">
      <c r="A126" s="80"/>
      <c r="K126" s="81"/>
    </row>
    <row r="127" spans="1:11" ht="12.75" customHeight="1">
      <c r="A127" s="80"/>
      <c r="B127" s="82" t="s">
        <v>67</v>
      </c>
      <c r="C127" s="581" t="s">
        <v>66</v>
      </c>
      <c r="D127" s="582"/>
      <c r="E127" s="582"/>
      <c r="F127" s="582"/>
      <c r="G127" s="582"/>
      <c r="H127" s="582"/>
      <c r="I127" s="582"/>
      <c r="J127" s="583"/>
      <c r="K127" s="81"/>
    </row>
    <row r="128" spans="1:11" ht="8.25" customHeight="1">
      <c r="A128" s="80"/>
      <c r="B128" s="79"/>
      <c r="D128" s="78"/>
      <c r="E128" s="78"/>
      <c r="F128" s="78"/>
      <c r="G128" s="78"/>
      <c r="H128" s="78"/>
      <c r="I128" s="78"/>
      <c r="K128" s="77"/>
    </row>
    <row r="129" spans="1:11" ht="12.75" customHeight="1">
      <c r="A129" s="584" t="s">
        <v>84</v>
      </c>
      <c r="B129" s="585" t="s">
        <v>83</v>
      </c>
      <c r="C129" s="585" t="s">
        <v>82</v>
      </c>
      <c r="D129" s="585" t="s">
        <v>81</v>
      </c>
      <c r="E129" s="564" t="s">
        <v>80</v>
      </c>
      <c r="F129" s="564"/>
      <c r="G129" s="564"/>
      <c r="H129" s="564" t="s">
        <v>79</v>
      </c>
      <c r="I129" s="564"/>
      <c r="J129" s="564"/>
      <c r="K129" s="565" t="s">
        <v>58</v>
      </c>
    </row>
    <row r="130" spans="1:11" ht="12.75" customHeight="1">
      <c r="A130" s="584"/>
      <c r="B130" s="585"/>
      <c r="C130" s="585"/>
      <c r="D130" s="585"/>
      <c r="E130" s="125" t="s">
        <v>78</v>
      </c>
      <c r="F130" s="125" t="s">
        <v>77</v>
      </c>
      <c r="G130" s="125" t="s">
        <v>76</v>
      </c>
      <c r="H130" s="125" t="s">
        <v>75</v>
      </c>
      <c r="I130" s="125" t="s">
        <v>74</v>
      </c>
      <c r="J130" s="125" t="s">
        <v>73</v>
      </c>
      <c r="K130" s="565"/>
    </row>
    <row r="131" spans="1:11" ht="12.75" customHeight="1">
      <c r="A131" s="584"/>
      <c r="B131" s="585"/>
      <c r="C131" s="585"/>
      <c r="D131" s="585"/>
      <c r="E131" s="125" t="s">
        <v>70</v>
      </c>
      <c r="F131" s="125" t="s">
        <v>70</v>
      </c>
      <c r="G131" s="125" t="s">
        <v>70</v>
      </c>
      <c r="H131" s="125" t="s">
        <v>72</v>
      </c>
      <c r="I131" s="125" t="s">
        <v>71</v>
      </c>
      <c r="J131" s="125" t="s">
        <v>70</v>
      </c>
      <c r="K131" s="565"/>
    </row>
    <row r="132" spans="1:11" ht="12.75" customHeight="1">
      <c r="A132" s="66">
        <v>7</v>
      </c>
      <c r="B132" s="65" t="s">
        <v>119</v>
      </c>
      <c r="C132" s="64" t="s">
        <v>48</v>
      </c>
      <c r="D132" s="76"/>
      <c r="E132" s="75"/>
      <c r="F132" s="75"/>
      <c r="G132" s="75"/>
      <c r="H132" s="75"/>
      <c r="I132" s="75"/>
      <c r="J132" s="74"/>
      <c r="K132" s="63"/>
    </row>
    <row r="133" spans="1:11" ht="12.75" customHeight="1">
      <c r="A133" s="118"/>
      <c r="B133" s="94" t="s">
        <v>110</v>
      </c>
      <c r="C133" s="93"/>
      <c r="D133" s="69">
        <v>-1</v>
      </c>
      <c r="E133" s="68">
        <v>1.6</v>
      </c>
      <c r="F133" s="68">
        <v>1.6</v>
      </c>
      <c r="G133" s="68">
        <v>0.4</v>
      </c>
      <c r="H133" s="68">
        <f t="shared" si="16"/>
        <v>-1.0240000000000002</v>
      </c>
      <c r="I133" s="68"/>
      <c r="J133" s="114"/>
      <c r="K133" s="117"/>
    </row>
    <row r="134" spans="1:11" ht="12.75" customHeight="1">
      <c r="A134" s="118"/>
      <c r="B134" s="94" t="s">
        <v>129</v>
      </c>
      <c r="C134" s="93"/>
      <c r="D134" s="69">
        <v>-1</v>
      </c>
      <c r="E134" s="68">
        <v>0.3</v>
      </c>
      <c r="F134" s="68">
        <v>0.3</v>
      </c>
      <c r="G134" s="68">
        <f>G117-G133</f>
        <v>0.79999999999999993</v>
      </c>
      <c r="H134" s="68">
        <f t="shared" si="16"/>
        <v>-7.1999999999999995E-2</v>
      </c>
      <c r="I134" s="68"/>
      <c r="J134" s="114"/>
      <c r="K134" s="117"/>
    </row>
    <row r="135" spans="1:11" ht="12.75" customHeight="1">
      <c r="A135" s="118"/>
      <c r="B135" s="119" t="s">
        <v>136</v>
      </c>
      <c r="C135" s="93"/>
      <c r="D135" s="69"/>
      <c r="E135" s="68"/>
      <c r="F135" s="68"/>
      <c r="G135" s="68"/>
      <c r="H135" s="68"/>
      <c r="I135" s="68"/>
      <c r="J135" s="114"/>
      <c r="K135" s="117"/>
    </row>
    <row r="136" spans="1:11" ht="12.75" customHeight="1">
      <c r="A136" s="118"/>
      <c r="B136" s="94" t="s">
        <v>85</v>
      </c>
      <c r="C136" s="93"/>
      <c r="D136" s="69">
        <v>1</v>
      </c>
      <c r="E136" s="68">
        <f>2.2+0.3</f>
        <v>2.5</v>
      </c>
      <c r="F136" s="68">
        <f>2.2+0.3</f>
        <v>2.5</v>
      </c>
      <c r="G136" s="68">
        <f>1.1+0.4</f>
        <v>1.5</v>
      </c>
      <c r="H136" s="68">
        <f t="shared" ref="H136:H138" si="17">PRODUCT(D136:G136)</f>
        <v>9.375</v>
      </c>
      <c r="I136" s="68"/>
      <c r="J136" s="114"/>
      <c r="K136" s="117"/>
    </row>
    <row r="137" spans="1:11" ht="12.75" customHeight="1">
      <c r="A137" s="118"/>
      <c r="B137" s="94" t="s">
        <v>110</v>
      </c>
      <c r="C137" s="93"/>
      <c r="D137" s="69">
        <v>-1</v>
      </c>
      <c r="E137" s="68">
        <v>2.2000000000000002</v>
      </c>
      <c r="F137" s="68">
        <v>2.2000000000000002</v>
      </c>
      <c r="G137" s="68">
        <v>0.55000000000000004</v>
      </c>
      <c r="H137" s="68">
        <f t="shared" si="17"/>
        <v>-2.6620000000000008</v>
      </c>
      <c r="I137" s="68"/>
      <c r="J137" s="114"/>
      <c r="K137" s="117"/>
    </row>
    <row r="138" spans="1:11" ht="12.75" customHeight="1">
      <c r="A138" s="118"/>
      <c r="B138" s="94" t="s">
        <v>129</v>
      </c>
      <c r="C138" s="93"/>
      <c r="D138" s="69">
        <v>-1</v>
      </c>
      <c r="E138" s="68">
        <v>0.3</v>
      </c>
      <c r="F138" s="68">
        <v>0.3</v>
      </c>
      <c r="G138" s="68">
        <f>G136-G137</f>
        <v>0.95</v>
      </c>
      <c r="H138" s="68">
        <f t="shared" si="17"/>
        <v>-8.5499999999999993E-2</v>
      </c>
      <c r="I138" s="68"/>
      <c r="J138" s="114"/>
      <c r="K138" s="117"/>
    </row>
    <row r="139" spans="1:11" ht="12.75" customHeight="1">
      <c r="A139" s="118"/>
      <c r="B139" s="119" t="s">
        <v>137</v>
      </c>
      <c r="C139" s="93"/>
      <c r="D139" s="69"/>
      <c r="E139" s="68"/>
      <c r="F139" s="68"/>
      <c r="G139" s="68"/>
      <c r="H139" s="68"/>
      <c r="I139" s="68"/>
      <c r="J139" s="114"/>
      <c r="K139" s="117"/>
    </row>
    <row r="140" spans="1:11" ht="12.75" customHeight="1">
      <c r="A140" s="118"/>
      <c r="B140" s="94" t="s">
        <v>85</v>
      </c>
      <c r="C140" s="93"/>
      <c r="D140" s="69">
        <v>1</v>
      </c>
      <c r="E140" s="68">
        <f>2.2+0.3</f>
        <v>2.5</v>
      </c>
      <c r="F140" s="68">
        <f>2.2+0.3</f>
        <v>2.5</v>
      </c>
      <c r="G140" s="68">
        <f>1.2+0.4</f>
        <v>1.6</v>
      </c>
      <c r="H140" s="68">
        <f>PRODUCT(D140:G140)</f>
        <v>10</v>
      </c>
      <c r="I140" s="68"/>
      <c r="J140" s="114"/>
      <c r="K140" s="117"/>
    </row>
    <row r="141" spans="1:11" ht="12.75" customHeight="1">
      <c r="A141" s="118"/>
      <c r="B141" s="94" t="s">
        <v>110</v>
      </c>
      <c r="C141" s="93"/>
      <c r="D141" s="69">
        <v>-1</v>
      </c>
      <c r="E141" s="68">
        <v>2.2000000000000002</v>
      </c>
      <c r="F141" s="68">
        <v>2.2000000000000002</v>
      </c>
      <c r="G141" s="68">
        <v>0.55000000000000004</v>
      </c>
      <c r="H141" s="68">
        <f t="shared" ref="H141:H142" si="18">PRODUCT(D141:G141)</f>
        <v>-2.6620000000000008</v>
      </c>
      <c r="I141" s="68"/>
      <c r="J141" s="114"/>
      <c r="K141" s="117"/>
    </row>
    <row r="142" spans="1:11" ht="12.75" customHeight="1">
      <c r="A142" s="118"/>
      <c r="B142" s="94" t="s">
        <v>129</v>
      </c>
      <c r="C142" s="93"/>
      <c r="D142" s="69">
        <v>-1</v>
      </c>
      <c r="E142" s="68">
        <v>0.3</v>
      </c>
      <c r="F142" s="68">
        <v>0.3</v>
      </c>
      <c r="G142" s="68">
        <f>G140-G141</f>
        <v>1.05</v>
      </c>
      <c r="H142" s="68">
        <f t="shared" si="18"/>
        <v>-9.4500000000000001E-2</v>
      </c>
      <c r="I142" s="68"/>
      <c r="J142" s="114"/>
      <c r="K142" s="117"/>
    </row>
    <row r="143" spans="1:11" ht="12.75" customHeight="1">
      <c r="A143" s="118"/>
      <c r="B143" s="119" t="s">
        <v>138</v>
      </c>
      <c r="C143" s="93"/>
      <c r="D143" s="69"/>
      <c r="E143" s="68"/>
      <c r="F143" s="68"/>
      <c r="G143" s="68"/>
      <c r="H143" s="68"/>
      <c r="I143" s="68"/>
      <c r="J143" s="114"/>
      <c r="K143" s="117"/>
    </row>
    <row r="144" spans="1:11" ht="12.75" customHeight="1">
      <c r="A144" s="118"/>
      <c r="B144" s="94" t="s">
        <v>85</v>
      </c>
      <c r="C144" s="93"/>
      <c r="D144" s="69">
        <v>1</v>
      </c>
      <c r="E144" s="68">
        <f>2.45+0.3</f>
        <v>2.75</v>
      </c>
      <c r="F144" s="68">
        <f>2.45+0.3</f>
        <v>2.75</v>
      </c>
      <c r="G144" s="68">
        <f>1.2+0.5</f>
        <v>1.7</v>
      </c>
      <c r="H144" s="68">
        <f t="shared" ref="H144:H146" si="19">PRODUCT(D144:G144)</f>
        <v>12.856249999999999</v>
      </c>
      <c r="I144" s="68"/>
      <c r="J144" s="114"/>
      <c r="K144" s="117"/>
    </row>
    <row r="145" spans="1:11" ht="12.75" customHeight="1">
      <c r="A145" s="118"/>
      <c r="B145" s="94" t="s">
        <v>110</v>
      </c>
      <c r="C145" s="93"/>
      <c r="D145" s="69">
        <v>-1</v>
      </c>
      <c r="E145" s="68">
        <v>2.4500000000000002</v>
      </c>
      <c r="F145" s="68">
        <v>2.4500000000000002</v>
      </c>
      <c r="G145" s="68">
        <v>0.6</v>
      </c>
      <c r="H145" s="68">
        <f t="shared" si="19"/>
        <v>-3.6015000000000006</v>
      </c>
      <c r="I145" s="68"/>
      <c r="J145" s="114"/>
      <c r="K145" s="117"/>
    </row>
    <row r="146" spans="1:11" ht="12.75" customHeight="1">
      <c r="A146" s="118"/>
      <c r="B146" s="94" t="s">
        <v>129</v>
      </c>
      <c r="C146" s="93"/>
      <c r="D146" s="69">
        <v>-1</v>
      </c>
      <c r="E146" s="68">
        <v>0.4</v>
      </c>
      <c r="F146" s="68">
        <v>0.4</v>
      </c>
      <c r="G146" s="68">
        <f>G144-G145</f>
        <v>1.1000000000000001</v>
      </c>
      <c r="H146" s="68">
        <f t="shared" si="19"/>
        <v>-0.17600000000000005</v>
      </c>
      <c r="I146" s="68"/>
      <c r="J146" s="114"/>
      <c r="K146" s="117"/>
    </row>
    <row r="147" spans="1:11" ht="12.75" customHeight="1">
      <c r="A147" s="118"/>
      <c r="B147" s="119" t="s">
        <v>139</v>
      </c>
      <c r="C147" s="93"/>
      <c r="D147" s="69"/>
      <c r="E147" s="68"/>
      <c r="F147" s="68"/>
      <c r="G147" s="68"/>
      <c r="H147" s="68"/>
      <c r="I147" s="68"/>
      <c r="J147" s="114"/>
      <c r="K147" s="117"/>
    </row>
    <row r="148" spans="1:11" ht="12.75" customHeight="1">
      <c r="A148" s="118"/>
      <c r="B148" s="94" t="s">
        <v>85</v>
      </c>
      <c r="C148" s="93"/>
      <c r="D148" s="69">
        <v>1</v>
      </c>
      <c r="E148" s="68">
        <f>1.9+0.3</f>
        <v>2.1999999999999997</v>
      </c>
      <c r="F148" s="68">
        <f>1.9+0.3</f>
        <v>2.1999999999999997</v>
      </c>
      <c r="G148" s="68">
        <f>1.1+0.4</f>
        <v>1.5</v>
      </c>
      <c r="H148" s="68">
        <f t="shared" ref="H148:H150" si="20">PRODUCT(D148:G148)</f>
        <v>7.259999999999998</v>
      </c>
      <c r="I148" s="68"/>
      <c r="J148" s="114"/>
      <c r="K148" s="117"/>
    </row>
    <row r="149" spans="1:11" ht="12.75" customHeight="1">
      <c r="A149" s="118"/>
      <c r="B149" s="94" t="s">
        <v>110</v>
      </c>
      <c r="C149" s="93"/>
      <c r="D149" s="69">
        <v>-1</v>
      </c>
      <c r="E149" s="68">
        <v>1.9</v>
      </c>
      <c r="F149" s="68">
        <v>1.9</v>
      </c>
      <c r="G149" s="68">
        <v>0.5</v>
      </c>
      <c r="H149" s="68">
        <f t="shared" si="20"/>
        <v>-1.8049999999999999</v>
      </c>
      <c r="I149" s="68"/>
      <c r="J149" s="114"/>
      <c r="K149" s="117"/>
    </row>
    <row r="150" spans="1:11" ht="12.75" customHeight="1">
      <c r="A150" s="118"/>
      <c r="B150" s="94" t="s">
        <v>129</v>
      </c>
      <c r="C150" s="93"/>
      <c r="D150" s="69">
        <v>-1</v>
      </c>
      <c r="E150" s="68">
        <v>0.3</v>
      </c>
      <c r="F150" s="68">
        <v>0.3</v>
      </c>
      <c r="G150" s="68">
        <f>G148-G149</f>
        <v>1</v>
      </c>
      <c r="H150" s="68">
        <f t="shared" si="20"/>
        <v>-0.09</v>
      </c>
      <c r="I150" s="68"/>
      <c r="J150" s="114"/>
      <c r="K150" s="117"/>
    </row>
    <row r="151" spans="1:11" ht="12.75" customHeight="1">
      <c r="A151" s="118"/>
      <c r="B151" s="119" t="s">
        <v>140</v>
      </c>
      <c r="C151" s="93"/>
      <c r="D151" s="69"/>
      <c r="E151" s="68"/>
      <c r="F151" s="68"/>
      <c r="G151" s="68"/>
      <c r="H151" s="68"/>
      <c r="I151" s="68"/>
      <c r="J151" s="114"/>
      <c r="K151" s="117"/>
    </row>
    <row r="152" spans="1:11" ht="12.75" customHeight="1">
      <c r="A152" s="118"/>
      <c r="B152" s="94" t="s">
        <v>85</v>
      </c>
      <c r="C152" s="93"/>
      <c r="D152" s="69">
        <v>1</v>
      </c>
      <c r="E152" s="68">
        <f>1.9+0.3</f>
        <v>2.1999999999999997</v>
      </c>
      <c r="F152" s="68">
        <f>1.9+0.3</f>
        <v>2.1999999999999997</v>
      </c>
      <c r="G152" s="68">
        <f>1.2+0.3</f>
        <v>1.5</v>
      </c>
      <c r="H152" s="68">
        <f t="shared" ref="H152:H154" si="21">PRODUCT(D152:G152)</f>
        <v>7.259999999999998</v>
      </c>
      <c r="I152" s="68"/>
      <c r="J152" s="114"/>
      <c r="K152" s="117"/>
    </row>
    <row r="153" spans="1:11" ht="12.75" customHeight="1">
      <c r="A153" s="118"/>
      <c r="B153" s="94" t="s">
        <v>110</v>
      </c>
      <c r="C153" s="93"/>
      <c r="D153" s="69">
        <v>-1</v>
      </c>
      <c r="E153" s="68">
        <v>1.9</v>
      </c>
      <c r="F153" s="68">
        <v>1.9</v>
      </c>
      <c r="G153" s="68">
        <v>0.5</v>
      </c>
      <c r="H153" s="68">
        <f t="shared" si="21"/>
        <v>-1.8049999999999999</v>
      </c>
      <c r="I153" s="68"/>
      <c r="J153" s="114"/>
      <c r="K153" s="117"/>
    </row>
    <row r="154" spans="1:11" ht="12.75" customHeight="1">
      <c r="A154" s="102"/>
      <c r="B154" s="94" t="s">
        <v>129</v>
      </c>
      <c r="C154" s="100"/>
      <c r="D154" s="99">
        <v>-1</v>
      </c>
      <c r="E154" s="98">
        <v>0.3</v>
      </c>
      <c r="F154" s="98">
        <v>0.3</v>
      </c>
      <c r="G154" s="98">
        <f>G152-G153</f>
        <v>1</v>
      </c>
      <c r="H154" s="68">
        <f t="shared" si="21"/>
        <v>-0.09</v>
      </c>
      <c r="I154" s="98"/>
      <c r="J154" s="97"/>
      <c r="K154" s="96"/>
    </row>
    <row r="155" spans="1:11" ht="12.75" customHeight="1">
      <c r="A155" s="108"/>
      <c r="B155" s="105" t="s">
        <v>292</v>
      </c>
      <c r="C155" s="104"/>
      <c r="D155" s="73"/>
      <c r="E155" s="72"/>
      <c r="F155" s="72"/>
      <c r="G155" s="72"/>
      <c r="H155" s="72"/>
      <c r="I155" s="72"/>
      <c r="J155" s="124"/>
      <c r="K155" s="107"/>
    </row>
    <row r="156" spans="1:11" ht="12.75" customHeight="1">
      <c r="A156" s="118"/>
      <c r="B156" s="119" t="s">
        <v>141</v>
      </c>
      <c r="C156" s="93"/>
      <c r="D156" s="69"/>
      <c r="E156" s="68"/>
      <c r="F156" s="68"/>
      <c r="G156" s="68"/>
      <c r="H156" s="68"/>
      <c r="I156" s="68"/>
      <c r="J156" s="114"/>
      <c r="K156" s="117"/>
    </row>
    <row r="157" spans="1:11" ht="12.75" customHeight="1">
      <c r="A157" s="118"/>
      <c r="B157" s="94" t="s">
        <v>85</v>
      </c>
      <c r="C157" s="93"/>
      <c r="D157" s="69">
        <v>1</v>
      </c>
      <c r="E157" s="68">
        <f>1.5+0.3</f>
        <v>1.8</v>
      </c>
      <c r="F157" s="68">
        <f>1.5+0.3</f>
        <v>1.8</v>
      </c>
      <c r="G157" s="68">
        <f>2.1+0.3</f>
        <v>2.4</v>
      </c>
      <c r="H157" s="68">
        <f>PRODUCT(D157:G157)</f>
        <v>7.7759999999999998</v>
      </c>
      <c r="I157" s="68"/>
      <c r="J157" s="114"/>
      <c r="K157" s="117"/>
    </row>
    <row r="158" spans="1:11" ht="12.75" customHeight="1">
      <c r="A158" s="118"/>
      <c r="B158" s="94" t="s">
        <v>110</v>
      </c>
      <c r="C158" s="93"/>
      <c r="D158" s="69">
        <v>-1</v>
      </c>
      <c r="E158" s="68">
        <v>1.5</v>
      </c>
      <c r="F158" s="68">
        <v>1.5</v>
      </c>
      <c r="G158" s="68">
        <v>0.4</v>
      </c>
      <c r="H158" s="68">
        <f>PRODUCT(D158:G158)</f>
        <v>-0.9</v>
      </c>
      <c r="I158" s="68"/>
      <c r="J158" s="114"/>
      <c r="K158" s="117"/>
    </row>
    <row r="159" spans="1:11" ht="12.75" customHeight="1">
      <c r="A159" s="118"/>
      <c r="B159" s="94" t="s">
        <v>129</v>
      </c>
      <c r="C159" s="93"/>
      <c r="D159" s="69">
        <v>-1</v>
      </c>
      <c r="E159" s="68">
        <v>0.3</v>
      </c>
      <c r="F159" s="68">
        <v>0.3</v>
      </c>
      <c r="G159" s="68">
        <f>G157-G158</f>
        <v>2</v>
      </c>
      <c r="H159" s="68">
        <f>PRODUCT(D159:G159)</f>
        <v>-0.18</v>
      </c>
      <c r="I159" s="68"/>
      <c r="J159" s="114"/>
      <c r="K159" s="117"/>
    </row>
    <row r="160" spans="1:11" ht="12.75" customHeight="1">
      <c r="A160" s="118"/>
      <c r="B160" s="119" t="s">
        <v>142</v>
      </c>
      <c r="C160" s="93"/>
      <c r="D160" s="69"/>
      <c r="E160" s="68"/>
      <c r="F160" s="68"/>
      <c r="G160" s="68"/>
      <c r="H160" s="68"/>
      <c r="I160" s="68"/>
      <c r="J160" s="114"/>
      <c r="K160" s="117"/>
    </row>
    <row r="161" spans="1:15" ht="12.75" customHeight="1">
      <c r="A161" s="118"/>
      <c r="B161" s="94" t="s">
        <v>85</v>
      </c>
      <c r="C161" s="93"/>
      <c r="D161" s="69">
        <v>1</v>
      </c>
      <c r="E161" s="68">
        <f>2+0.3</f>
        <v>2.2999999999999998</v>
      </c>
      <c r="F161" s="68">
        <f>2+0.3</f>
        <v>2.2999999999999998</v>
      </c>
      <c r="G161" s="68">
        <f>2.6+0.3</f>
        <v>2.9</v>
      </c>
      <c r="H161" s="68">
        <f t="shared" ref="H161:H163" si="22">PRODUCT(D161:G161)</f>
        <v>15.340999999999998</v>
      </c>
      <c r="I161" s="68"/>
      <c r="J161" s="114"/>
      <c r="K161" s="117"/>
    </row>
    <row r="162" spans="1:15" ht="12.75" customHeight="1">
      <c r="A162" s="118"/>
      <c r="B162" s="94" t="s">
        <v>110</v>
      </c>
      <c r="C162" s="93"/>
      <c r="D162" s="69">
        <v>-1</v>
      </c>
      <c r="E162" s="68">
        <v>2</v>
      </c>
      <c r="F162" s="68">
        <v>2</v>
      </c>
      <c r="G162" s="68">
        <v>0.45</v>
      </c>
      <c r="H162" s="68">
        <f t="shared" si="22"/>
        <v>-1.8</v>
      </c>
      <c r="I162" s="68"/>
      <c r="J162" s="114"/>
      <c r="K162" s="117"/>
    </row>
    <row r="163" spans="1:15" ht="12.75" customHeight="1">
      <c r="A163" s="118"/>
      <c r="B163" s="94" t="s">
        <v>129</v>
      </c>
      <c r="C163" s="93"/>
      <c r="D163" s="69">
        <v>-1</v>
      </c>
      <c r="E163" s="68">
        <v>0.3</v>
      </c>
      <c r="F163" s="68">
        <v>0.3</v>
      </c>
      <c r="G163" s="68">
        <f>G161-G162</f>
        <v>2.4499999999999997</v>
      </c>
      <c r="H163" s="68">
        <f t="shared" si="22"/>
        <v>-0.22049999999999997</v>
      </c>
      <c r="I163" s="68"/>
      <c r="J163" s="114"/>
      <c r="K163" s="117"/>
    </row>
    <row r="164" spans="1:15" ht="12.75" customHeight="1">
      <c r="A164" s="118"/>
      <c r="B164" s="119" t="s">
        <v>143</v>
      </c>
      <c r="C164" s="93"/>
      <c r="D164" s="69"/>
      <c r="E164" s="68"/>
      <c r="F164" s="68"/>
      <c r="G164" s="68"/>
      <c r="H164" s="68"/>
      <c r="I164" s="68"/>
      <c r="J164" s="114"/>
      <c r="K164" s="117"/>
    </row>
    <row r="165" spans="1:15" ht="12.75" customHeight="1">
      <c r="A165" s="118"/>
      <c r="B165" s="94" t="s">
        <v>85</v>
      </c>
      <c r="C165" s="93"/>
      <c r="D165" s="69">
        <v>1</v>
      </c>
      <c r="E165" s="68">
        <f>2.2+0.3</f>
        <v>2.5</v>
      </c>
      <c r="F165" s="68">
        <f>2.2+0.3</f>
        <v>2.5</v>
      </c>
      <c r="G165" s="68">
        <f>1.8+0.5</f>
        <v>2.2999999999999998</v>
      </c>
      <c r="H165" s="68">
        <f t="shared" ref="H165:H167" si="23">PRODUCT(D165:G165)</f>
        <v>14.374999999999998</v>
      </c>
      <c r="I165" s="68"/>
      <c r="J165" s="114"/>
      <c r="K165" s="117"/>
    </row>
    <row r="166" spans="1:15" ht="12.75" customHeight="1">
      <c r="A166" s="118"/>
      <c r="B166" s="94" t="s">
        <v>110</v>
      </c>
      <c r="C166" s="93"/>
      <c r="D166" s="69">
        <v>-1</v>
      </c>
      <c r="E166" s="68">
        <v>2.2000000000000002</v>
      </c>
      <c r="F166" s="68">
        <v>2.2000000000000002</v>
      </c>
      <c r="G166" s="68">
        <v>0.6</v>
      </c>
      <c r="H166" s="68">
        <f t="shared" si="23"/>
        <v>-2.9040000000000004</v>
      </c>
      <c r="I166" s="68"/>
      <c r="J166" s="114"/>
      <c r="K166" s="117"/>
      <c r="L166" s="106"/>
      <c r="M166" s="131"/>
      <c r="N166" s="132"/>
      <c r="O166" s="132"/>
    </row>
    <row r="167" spans="1:15" ht="12.75" customHeight="1">
      <c r="A167" s="118"/>
      <c r="B167" s="94" t="s">
        <v>129</v>
      </c>
      <c r="C167" s="93"/>
      <c r="D167" s="69">
        <v>-1</v>
      </c>
      <c r="E167" s="68">
        <v>0.3</v>
      </c>
      <c r="F167" s="68">
        <v>0.3</v>
      </c>
      <c r="G167" s="68">
        <f>G165-G166</f>
        <v>1.6999999999999997</v>
      </c>
      <c r="H167" s="68">
        <f t="shared" si="23"/>
        <v>-0.15299999999999997</v>
      </c>
      <c r="I167" s="68"/>
      <c r="J167" s="114"/>
      <c r="K167" s="117"/>
      <c r="L167" s="106"/>
      <c r="M167" s="131"/>
      <c r="N167" s="132"/>
      <c r="O167" s="132"/>
    </row>
    <row r="168" spans="1:15" ht="12.75" customHeight="1">
      <c r="A168" s="118"/>
      <c r="B168" s="119" t="s">
        <v>144</v>
      </c>
      <c r="C168" s="93"/>
      <c r="D168" s="69"/>
      <c r="E168" s="68"/>
      <c r="F168" s="68"/>
      <c r="G168" s="68"/>
      <c r="H168" s="68"/>
      <c r="I168" s="68"/>
      <c r="J168" s="114"/>
      <c r="K168" s="117"/>
    </row>
    <row r="169" spans="1:15" ht="12.75" customHeight="1">
      <c r="A169" s="118"/>
      <c r="B169" s="94" t="s">
        <v>85</v>
      </c>
      <c r="C169" s="93"/>
      <c r="D169" s="69">
        <v>1</v>
      </c>
      <c r="E169" s="68">
        <f>2.6+0.3</f>
        <v>2.9</v>
      </c>
      <c r="F169" s="68">
        <f>2.6+0.3</f>
        <v>2.9</v>
      </c>
      <c r="G169" s="68">
        <f>2.1+0.4</f>
        <v>2.5</v>
      </c>
      <c r="H169" s="68">
        <f t="shared" ref="H169:H171" si="24">PRODUCT(D169:G169)</f>
        <v>21.024999999999999</v>
      </c>
      <c r="I169" s="68"/>
      <c r="J169" s="114"/>
      <c r="K169" s="117"/>
      <c r="M169" s="586"/>
      <c r="N169" s="586"/>
      <c r="O169" s="133"/>
    </row>
    <row r="170" spans="1:15" ht="12.75" customHeight="1">
      <c r="A170" s="118"/>
      <c r="B170" s="94" t="s">
        <v>110</v>
      </c>
      <c r="C170" s="93"/>
      <c r="D170" s="69">
        <v>-1</v>
      </c>
      <c r="E170" s="68">
        <v>2.6</v>
      </c>
      <c r="F170" s="68">
        <v>2.6</v>
      </c>
      <c r="G170" s="68">
        <v>0.6</v>
      </c>
      <c r="H170" s="68">
        <f t="shared" si="24"/>
        <v>-4.056</v>
      </c>
      <c r="I170" s="68"/>
      <c r="J170" s="114"/>
      <c r="K170" s="117"/>
      <c r="M170" s="134"/>
      <c r="N170" s="134"/>
      <c r="O170" s="133"/>
    </row>
    <row r="171" spans="1:15" ht="12.75" customHeight="1">
      <c r="A171" s="118"/>
      <c r="B171" s="94" t="s">
        <v>129</v>
      </c>
      <c r="C171" s="93"/>
      <c r="D171" s="69">
        <v>-1</v>
      </c>
      <c r="E171" s="68">
        <v>0.3</v>
      </c>
      <c r="F171" s="68">
        <v>0.5</v>
      </c>
      <c r="G171" s="68">
        <f>G169-G170</f>
        <v>1.9</v>
      </c>
      <c r="H171" s="68">
        <f t="shared" si="24"/>
        <v>-0.28499999999999998</v>
      </c>
      <c r="I171" s="68"/>
      <c r="J171" s="114"/>
      <c r="K171" s="117"/>
      <c r="M171" s="134"/>
      <c r="N171" s="134"/>
      <c r="O171" s="133"/>
    </row>
    <row r="172" spans="1:15" ht="12.75" customHeight="1">
      <c r="A172" s="118"/>
      <c r="B172" s="119" t="s">
        <v>145</v>
      </c>
      <c r="C172" s="93"/>
      <c r="D172" s="69"/>
      <c r="E172" s="68"/>
      <c r="F172" s="68"/>
      <c r="G172" s="68"/>
      <c r="H172" s="68"/>
      <c r="I172" s="68"/>
      <c r="J172" s="114"/>
      <c r="K172" s="117"/>
      <c r="M172" s="134"/>
      <c r="N172" s="134"/>
      <c r="O172" s="133"/>
    </row>
    <row r="173" spans="1:15" ht="12.75" customHeight="1">
      <c r="A173" s="118"/>
      <c r="B173" s="94" t="s">
        <v>85</v>
      </c>
      <c r="C173" s="93"/>
      <c r="D173" s="69">
        <v>1</v>
      </c>
      <c r="E173" s="68">
        <f>2.2+0.3</f>
        <v>2.5</v>
      </c>
      <c r="F173" s="68">
        <f>2.2+0.3</f>
        <v>2.5</v>
      </c>
      <c r="G173" s="68">
        <f>1.8+0.45</f>
        <v>2.25</v>
      </c>
      <c r="H173" s="68">
        <f t="shared" ref="H173:H175" si="25">PRODUCT(D173:G173)</f>
        <v>14.0625</v>
      </c>
      <c r="I173" s="68"/>
      <c r="J173" s="114"/>
      <c r="K173" s="117"/>
      <c r="M173" s="134"/>
      <c r="N173" s="134"/>
      <c r="O173" s="133"/>
    </row>
    <row r="174" spans="1:15" ht="12.75" customHeight="1">
      <c r="A174" s="118"/>
      <c r="B174" s="94" t="s">
        <v>110</v>
      </c>
      <c r="C174" s="93"/>
      <c r="D174" s="69">
        <v>-1</v>
      </c>
      <c r="E174" s="68">
        <v>2.2000000000000002</v>
      </c>
      <c r="F174" s="68">
        <v>2.2000000000000002</v>
      </c>
      <c r="G174" s="68">
        <v>0.55000000000000004</v>
      </c>
      <c r="H174" s="68">
        <f t="shared" si="25"/>
        <v>-2.6620000000000008</v>
      </c>
      <c r="I174" s="68"/>
      <c r="J174" s="114"/>
      <c r="K174" s="117"/>
      <c r="M174" s="134"/>
      <c r="N174" s="134"/>
      <c r="O174" s="133"/>
    </row>
    <row r="175" spans="1:15" ht="12.75" customHeight="1" thickBot="1">
      <c r="A175" s="143"/>
      <c r="B175" s="147" t="s">
        <v>129</v>
      </c>
      <c r="C175" s="144"/>
      <c r="D175" s="95">
        <v>-1</v>
      </c>
      <c r="E175" s="92">
        <v>0.3</v>
      </c>
      <c r="F175" s="92">
        <v>0.4</v>
      </c>
      <c r="G175" s="92">
        <f>G173-G174</f>
        <v>1.7</v>
      </c>
      <c r="H175" s="92">
        <f t="shared" si="25"/>
        <v>-0.20399999999999999</v>
      </c>
      <c r="I175" s="92"/>
      <c r="J175" s="145"/>
      <c r="K175" s="146"/>
      <c r="M175" s="134"/>
      <c r="N175" s="134"/>
      <c r="O175" s="133"/>
    </row>
    <row r="176" spans="1:15" ht="12.75" customHeight="1" thickTop="1">
      <c r="A176" s="91"/>
      <c r="B176" s="90"/>
      <c r="C176" s="90"/>
      <c r="D176" s="90"/>
      <c r="E176" s="90"/>
      <c r="F176" s="90"/>
      <c r="G176" s="90"/>
      <c r="H176" s="90"/>
      <c r="I176" s="90"/>
      <c r="J176" s="90"/>
      <c r="K176" s="89"/>
      <c r="M176" s="134"/>
      <c r="N176" s="134"/>
      <c r="O176" s="133"/>
    </row>
    <row r="177" spans="1:15" ht="18" customHeight="1">
      <c r="A177" s="569" t="s">
        <v>29</v>
      </c>
      <c r="B177" s="570"/>
      <c r="C177" s="570"/>
      <c r="D177" s="570"/>
      <c r="E177" s="570"/>
      <c r="F177" s="570"/>
      <c r="G177" s="570"/>
      <c r="H177" s="570"/>
      <c r="I177" s="570"/>
      <c r="J177" s="570"/>
      <c r="K177" s="571"/>
      <c r="M177" s="134"/>
      <c r="N177" s="134"/>
      <c r="O177" s="133"/>
    </row>
    <row r="178" spans="1:15" ht="18" customHeight="1">
      <c r="A178" s="572" t="s">
        <v>69</v>
      </c>
      <c r="B178" s="573"/>
      <c r="C178" s="573"/>
      <c r="D178" s="573"/>
      <c r="E178" s="573"/>
      <c r="F178" s="573"/>
      <c r="G178" s="573"/>
      <c r="H178" s="573"/>
      <c r="I178" s="573"/>
      <c r="J178" s="573"/>
      <c r="K178" s="574"/>
      <c r="M178" s="134"/>
      <c r="N178" s="134"/>
      <c r="O178" s="133"/>
    </row>
    <row r="179" spans="1:15" ht="12.75" customHeight="1">
      <c r="A179" s="88"/>
      <c r="B179" s="85"/>
      <c r="C179" s="85"/>
      <c r="D179" s="85"/>
      <c r="E179" s="85"/>
      <c r="F179" s="85"/>
      <c r="G179" s="85"/>
      <c r="H179" s="85"/>
      <c r="I179" s="85"/>
      <c r="J179" s="85"/>
      <c r="K179" s="87"/>
      <c r="M179" s="134"/>
      <c r="N179" s="134"/>
      <c r="O179" s="133"/>
    </row>
    <row r="180" spans="1:15" ht="12.75" customHeight="1">
      <c r="A180" s="55"/>
      <c r="B180" s="86"/>
      <c r="C180" s="86"/>
      <c r="D180" s="86"/>
      <c r="E180" s="86"/>
      <c r="F180" s="86"/>
      <c r="G180" s="86"/>
      <c r="H180" s="86"/>
      <c r="I180" s="86"/>
      <c r="J180" s="86"/>
      <c r="K180" s="81"/>
      <c r="M180" s="134"/>
      <c r="N180" s="134"/>
      <c r="O180" s="133"/>
    </row>
    <row r="181" spans="1:15" ht="12.75" customHeight="1">
      <c r="A181" s="575" t="s">
        <v>68</v>
      </c>
      <c r="B181" s="576"/>
      <c r="C181" s="576"/>
      <c r="D181" s="576"/>
      <c r="E181" s="576"/>
      <c r="F181" s="576"/>
      <c r="G181" s="576"/>
      <c r="H181" s="576"/>
      <c r="I181" s="576"/>
      <c r="J181" s="576"/>
      <c r="K181" s="577"/>
      <c r="M181" s="134"/>
      <c r="N181" s="134"/>
      <c r="O181" s="133"/>
    </row>
    <row r="182" spans="1:15" ht="6" customHeight="1">
      <c r="A182" s="55"/>
      <c r="B182" s="86"/>
      <c r="C182" s="86"/>
      <c r="D182" s="86"/>
      <c r="E182" s="86"/>
      <c r="F182" s="86"/>
      <c r="G182" s="86"/>
      <c r="H182" s="86"/>
      <c r="I182" s="86"/>
      <c r="J182" s="85"/>
      <c r="K182" s="81"/>
      <c r="M182" s="134"/>
      <c r="N182" s="134"/>
      <c r="O182" s="133"/>
    </row>
    <row r="183" spans="1:15" ht="12.75" customHeight="1">
      <c r="A183" s="84"/>
      <c r="B183" s="83" t="s">
        <v>11</v>
      </c>
      <c r="C183" s="578" t="s">
        <v>361</v>
      </c>
      <c r="D183" s="579"/>
      <c r="E183" s="579"/>
      <c r="F183" s="579"/>
      <c r="G183" s="579"/>
      <c r="H183" s="579"/>
      <c r="I183" s="579"/>
      <c r="J183" s="580"/>
      <c r="K183" s="81"/>
      <c r="M183" s="134"/>
      <c r="N183" s="134"/>
      <c r="O183" s="133"/>
    </row>
    <row r="184" spans="1:15" ht="8.25" customHeight="1">
      <c r="A184" s="80"/>
      <c r="K184" s="81"/>
      <c r="M184" s="134"/>
      <c r="N184" s="134"/>
      <c r="O184" s="133"/>
    </row>
    <row r="185" spans="1:15" ht="12.75" customHeight="1">
      <c r="A185" s="80"/>
      <c r="B185" s="82" t="s">
        <v>67</v>
      </c>
      <c r="C185" s="581" t="s">
        <v>66</v>
      </c>
      <c r="D185" s="582"/>
      <c r="E185" s="582"/>
      <c r="F185" s="582"/>
      <c r="G185" s="582"/>
      <c r="H185" s="582"/>
      <c r="I185" s="582"/>
      <c r="J185" s="583"/>
      <c r="K185" s="81"/>
      <c r="M185" s="134"/>
      <c r="N185" s="134"/>
      <c r="O185" s="133"/>
    </row>
    <row r="186" spans="1:15" ht="8.25" customHeight="1">
      <c r="A186" s="80"/>
      <c r="B186" s="79"/>
      <c r="D186" s="78"/>
      <c r="E186" s="78"/>
      <c r="F186" s="78"/>
      <c r="G186" s="78"/>
      <c r="H186" s="78"/>
      <c r="I186" s="78"/>
      <c r="K186" s="77"/>
      <c r="M186" s="134"/>
      <c r="N186" s="134"/>
      <c r="O186" s="133"/>
    </row>
    <row r="187" spans="1:15" ht="12.75" customHeight="1">
      <c r="A187" s="584" t="s">
        <v>84</v>
      </c>
      <c r="B187" s="585" t="s">
        <v>83</v>
      </c>
      <c r="C187" s="585" t="s">
        <v>82</v>
      </c>
      <c r="D187" s="585" t="s">
        <v>81</v>
      </c>
      <c r="E187" s="564" t="s">
        <v>80</v>
      </c>
      <c r="F187" s="564"/>
      <c r="G187" s="564"/>
      <c r="H187" s="564" t="s">
        <v>79</v>
      </c>
      <c r="I187" s="564"/>
      <c r="J187" s="564"/>
      <c r="K187" s="565" t="s">
        <v>58</v>
      </c>
      <c r="M187" s="134"/>
      <c r="N187" s="134"/>
      <c r="O187" s="133"/>
    </row>
    <row r="188" spans="1:15" ht="12.75" customHeight="1">
      <c r="A188" s="584"/>
      <c r="B188" s="585"/>
      <c r="C188" s="585"/>
      <c r="D188" s="585"/>
      <c r="E188" s="125" t="s">
        <v>78</v>
      </c>
      <c r="F188" s="125" t="s">
        <v>77</v>
      </c>
      <c r="G188" s="125" t="s">
        <v>76</v>
      </c>
      <c r="H188" s="125" t="s">
        <v>75</v>
      </c>
      <c r="I188" s="125" t="s">
        <v>74</v>
      </c>
      <c r="J188" s="125" t="s">
        <v>73</v>
      </c>
      <c r="K188" s="565"/>
      <c r="M188" s="134"/>
      <c r="N188" s="134"/>
      <c r="O188" s="133"/>
    </row>
    <row r="189" spans="1:15" ht="12.75" customHeight="1">
      <c r="A189" s="584"/>
      <c r="B189" s="585"/>
      <c r="C189" s="585"/>
      <c r="D189" s="585"/>
      <c r="E189" s="125" t="s">
        <v>70</v>
      </c>
      <c r="F189" s="125" t="s">
        <v>70</v>
      </c>
      <c r="G189" s="125" t="s">
        <v>70</v>
      </c>
      <c r="H189" s="125" t="s">
        <v>72</v>
      </c>
      <c r="I189" s="125" t="s">
        <v>71</v>
      </c>
      <c r="J189" s="125" t="s">
        <v>70</v>
      </c>
      <c r="K189" s="565"/>
      <c r="M189" s="134"/>
      <c r="N189" s="134"/>
      <c r="O189" s="133"/>
    </row>
    <row r="190" spans="1:15" ht="12.75" customHeight="1">
      <c r="A190" s="66">
        <v>7</v>
      </c>
      <c r="B190" s="65" t="s">
        <v>119</v>
      </c>
      <c r="C190" s="64" t="s">
        <v>48</v>
      </c>
      <c r="D190" s="76"/>
      <c r="E190" s="75"/>
      <c r="F190" s="75"/>
      <c r="G190" s="75"/>
      <c r="H190" s="75"/>
      <c r="I190" s="75"/>
      <c r="J190" s="74"/>
      <c r="K190" s="63"/>
      <c r="M190" s="134"/>
      <c r="N190" s="134"/>
      <c r="O190" s="133"/>
    </row>
    <row r="191" spans="1:15" ht="12.75" customHeight="1">
      <c r="A191" s="118"/>
      <c r="B191" s="119" t="s">
        <v>146</v>
      </c>
      <c r="C191" s="93"/>
      <c r="D191" s="69"/>
      <c r="E191" s="68"/>
      <c r="F191" s="68"/>
      <c r="G191" s="68"/>
      <c r="H191" s="68"/>
      <c r="I191" s="68"/>
      <c r="J191" s="114"/>
      <c r="K191" s="117"/>
      <c r="M191" s="134"/>
      <c r="N191" s="134"/>
      <c r="O191" s="133"/>
    </row>
    <row r="192" spans="1:15" ht="12.75" customHeight="1">
      <c r="A192" s="118"/>
      <c r="B192" s="94" t="s">
        <v>85</v>
      </c>
      <c r="C192" s="93"/>
      <c r="D192" s="69">
        <v>1</v>
      </c>
      <c r="E192" s="68">
        <f>3.55+0.3</f>
        <v>3.8499999999999996</v>
      </c>
      <c r="F192" s="68">
        <f>3.55+0.3</f>
        <v>3.8499999999999996</v>
      </c>
      <c r="G192" s="68">
        <f>1.9+0.7</f>
        <v>2.5999999999999996</v>
      </c>
      <c r="H192" s="68">
        <f t="shared" ref="H192:H194" si="26">PRODUCT(D192:G192)</f>
        <v>38.538499999999992</v>
      </c>
      <c r="I192" s="68"/>
      <c r="J192" s="114"/>
      <c r="K192" s="117"/>
      <c r="M192" s="134"/>
      <c r="N192" s="134"/>
      <c r="O192" s="133"/>
    </row>
    <row r="193" spans="1:15" ht="12.75" customHeight="1">
      <c r="A193" s="118"/>
      <c r="B193" s="94" t="s">
        <v>110</v>
      </c>
      <c r="C193" s="93"/>
      <c r="D193" s="69">
        <v>-1</v>
      </c>
      <c r="E193" s="68">
        <v>3.55</v>
      </c>
      <c r="F193" s="68">
        <v>3.55</v>
      </c>
      <c r="G193" s="68">
        <v>0.8</v>
      </c>
      <c r="H193" s="68">
        <f t="shared" si="26"/>
        <v>-10.082000000000001</v>
      </c>
      <c r="I193" s="68"/>
      <c r="J193" s="114"/>
      <c r="K193" s="117"/>
      <c r="M193" s="134"/>
      <c r="N193" s="134"/>
      <c r="O193" s="133"/>
    </row>
    <row r="194" spans="1:15" ht="12.75" customHeight="1">
      <c r="A194" s="118"/>
      <c r="B194" s="94" t="s">
        <v>129</v>
      </c>
      <c r="C194" s="93"/>
      <c r="D194" s="69">
        <v>-1</v>
      </c>
      <c r="E194" s="68">
        <v>0.45</v>
      </c>
      <c r="F194" s="68">
        <v>0.45</v>
      </c>
      <c r="G194" s="68">
        <f>G192-G193</f>
        <v>1.7999999999999996</v>
      </c>
      <c r="H194" s="68">
        <f t="shared" si="26"/>
        <v>-0.36449999999999994</v>
      </c>
      <c r="I194" s="68"/>
      <c r="J194" s="114"/>
      <c r="K194" s="117"/>
      <c r="M194" s="134"/>
      <c r="N194" s="134"/>
      <c r="O194" s="133"/>
    </row>
    <row r="195" spans="1:15" ht="12.75" customHeight="1">
      <c r="A195" s="118"/>
      <c r="B195" s="119" t="s">
        <v>147</v>
      </c>
      <c r="C195" s="93"/>
      <c r="D195" s="69"/>
      <c r="E195" s="68"/>
      <c r="F195" s="68"/>
      <c r="G195" s="68"/>
      <c r="H195" s="68"/>
      <c r="I195" s="68"/>
      <c r="J195" s="114"/>
      <c r="K195" s="117"/>
      <c r="M195" s="134"/>
      <c r="N195" s="134"/>
      <c r="O195" s="133"/>
    </row>
    <row r="196" spans="1:15" ht="12.75" customHeight="1">
      <c r="A196" s="118"/>
      <c r="B196" s="94" t="s">
        <v>85</v>
      </c>
      <c r="C196" s="93"/>
      <c r="D196" s="69">
        <v>1</v>
      </c>
      <c r="E196" s="68">
        <f>2.3+0.3</f>
        <v>2.5999999999999996</v>
      </c>
      <c r="F196" s="68">
        <f>2.3+0.3</f>
        <v>2.5999999999999996</v>
      </c>
      <c r="G196" s="68">
        <f>2.3+0.45</f>
        <v>2.75</v>
      </c>
      <c r="H196" s="68">
        <f t="shared" ref="H196:H198" si="27">PRODUCT(D196:G196)</f>
        <v>18.589999999999996</v>
      </c>
      <c r="I196" s="68"/>
      <c r="J196" s="114"/>
      <c r="K196" s="117"/>
      <c r="M196" s="134"/>
      <c r="N196" s="134"/>
      <c r="O196" s="133"/>
    </row>
    <row r="197" spans="1:15" ht="12.75" customHeight="1">
      <c r="A197" s="118"/>
      <c r="B197" s="94" t="s">
        <v>110</v>
      </c>
      <c r="C197" s="93"/>
      <c r="D197" s="69">
        <v>-1</v>
      </c>
      <c r="E197" s="68">
        <v>2.2999999999999998</v>
      </c>
      <c r="F197" s="68">
        <v>2.2999999999999998</v>
      </c>
      <c r="G197" s="68">
        <v>0.55000000000000004</v>
      </c>
      <c r="H197" s="68">
        <f t="shared" si="27"/>
        <v>-2.9095</v>
      </c>
      <c r="I197" s="68"/>
      <c r="J197" s="114"/>
      <c r="K197" s="117"/>
      <c r="M197" s="134"/>
      <c r="N197" s="134"/>
      <c r="O197" s="133"/>
    </row>
    <row r="198" spans="1:15" ht="12.75" customHeight="1">
      <c r="A198" s="118"/>
      <c r="B198" s="94" t="s">
        <v>129</v>
      </c>
      <c r="C198" s="93"/>
      <c r="D198" s="69">
        <v>-1</v>
      </c>
      <c r="E198" s="68">
        <v>0.4</v>
      </c>
      <c r="F198" s="68">
        <v>0.4</v>
      </c>
      <c r="G198" s="68">
        <f>G196-G197</f>
        <v>2.2000000000000002</v>
      </c>
      <c r="H198" s="68">
        <f t="shared" si="27"/>
        <v>-0.35200000000000009</v>
      </c>
      <c r="I198" s="68"/>
      <c r="J198" s="114"/>
      <c r="K198" s="117"/>
      <c r="M198" s="134"/>
      <c r="N198" s="134"/>
      <c r="O198" s="133"/>
    </row>
    <row r="199" spans="1:15" ht="12.75" customHeight="1">
      <c r="A199" s="118"/>
      <c r="B199" s="119" t="s">
        <v>148</v>
      </c>
      <c r="C199" s="93"/>
      <c r="D199" s="69"/>
      <c r="E199" s="68"/>
      <c r="F199" s="68"/>
      <c r="G199" s="68"/>
      <c r="H199" s="68"/>
      <c r="I199" s="68"/>
      <c r="J199" s="114"/>
      <c r="K199" s="117"/>
      <c r="M199" s="134"/>
      <c r="N199" s="134"/>
      <c r="O199" s="133"/>
    </row>
    <row r="200" spans="1:15" ht="12.75" customHeight="1">
      <c r="A200" s="118"/>
      <c r="B200" s="94" t="s">
        <v>85</v>
      </c>
      <c r="C200" s="93"/>
      <c r="D200" s="69">
        <v>1</v>
      </c>
      <c r="E200" s="68">
        <f>3.4+0.3</f>
        <v>3.6999999999999997</v>
      </c>
      <c r="F200" s="68">
        <f>3.4+0.3</f>
        <v>3.6999999999999997</v>
      </c>
      <c r="G200" s="68">
        <f>1.6+0.45</f>
        <v>2.0500000000000003</v>
      </c>
      <c r="H200" s="68">
        <f t="shared" ref="H200:H202" si="28">PRODUCT(D200:G200)</f>
        <v>28.064499999999999</v>
      </c>
      <c r="I200" s="68"/>
      <c r="J200" s="114"/>
      <c r="K200" s="117"/>
      <c r="M200" s="134"/>
      <c r="N200" s="134"/>
      <c r="O200" s="133"/>
    </row>
    <row r="201" spans="1:15" ht="12.75" customHeight="1">
      <c r="A201" s="118"/>
      <c r="B201" s="94" t="s">
        <v>110</v>
      </c>
      <c r="C201" s="93"/>
      <c r="D201" s="69">
        <v>-1</v>
      </c>
      <c r="E201" s="68">
        <v>3.4</v>
      </c>
      <c r="F201" s="68">
        <v>3.4</v>
      </c>
      <c r="G201" s="68">
        <v>0.75</v>
      </c>
      <c r="H201" s="68">
        <f t="shared" si="28"/>
        <v>-8.6699999999999982</v>
      </c>
      <c r="I201" s="68"/>
      <c r="J201" s="114"/>
      <c r="K201" s="117"/>
      <c r="M201" s="134"/>
      <c r="N201" s="134"/>
      <c r="O201" s="133"/>
    </row>
    <row r="202" spans="1:15" ht="12.75" customHeight="1">
      <c r="A202" s="118"/>
      <c r="B202" s="94" t="s">
        <v>129</v>
      </c>
      <c r="C202" s="93"/>
      <c r="D202" s="69">
        <v>-1</v>
      </c>
      <c r="E202" s="68">
        <v>0.4</v>
      </c>
      <c r="F202" s="68">
        <v>0.6</v>
      </c>
      <c r="G202" s="68">
        <f>G200-G201</f>
        <v>1.3000000000000003</v>
      </c>
      <c r="H202" s="68">
        <f t="shared" si="28"/>
        <v>-0.31200000000000006</v>
      </c>
      <c r="I202" s="68"/>
      <c r="J202" s="114"/>
      <c r="K202" s="117"/>
      <c r="M202" s="134"/>
      <c r="N202" s="134"/>
      <c r="O202" s="133"/>
    </row>
    <row r="203" spans="1:15" ht="12.75" customHeight="1">
      <c r="A203" s="118"/>
      <c r="B203" s="119" t="s">
        <v>149</v>
      </c>
      <c r="C203" s="93"/>
      <c r="D203" s="69"/>
      <c r="E203" s="68"/>
      <c r="F203" s="68"/>
      <c r="G203" s="68"/>
      <c r="H203" s="68"/>
      <c r="I203" s="68"/>
      <c r="J203" s="114"/>
      <c r="K203" s="117"/>
      <c r="M203" s="134"/>
      <c r="N203" s="134"/>
      <c r="O203" s="133"/>
    </row>
    <row r="204" spans="1:15" ht="12.75" customHeight="1">
      <c r="A204" s="118"/>
      <c r="B204" s="94" t="s">
        <v>85</v>
      </c>
      <c r="C204" s="93"/>
      <c r="D204" s="69">
        <v>1</v>
      </c>
      <c r="E204" s="68">
        <f>2.9+0.3</f>
        <v>3.1999999999999997</v>
      </c>
      <c r="F204" s="68">
        <f>2.9+0.3</f>
        <v>3.1999999999999997</v>
      </c>
      <c r="G204" s="68">
        <f>2.3+0.55</f>
        <v>2.8499999999999996</v>
      </c>
      <c r="H204" s="68">
        <f t="shared" ref="H204:H206" si="29">PRODUCT(D204:G204)</f>
        <v>29.18399999999999</v>
      </c>
      <c r="I204" s="68"/>
      <c r="J204" s="114"/>
      <c r="K204" s="117"/>
      <c r="M204" s="134"/>
      <c r="N204" s="134"/>
      <c r="O204" s="133"/>
    </row>
    <row r="205" spans="1:15" ht="12.75" customHeight="1">
      <c r="A205" s="118"/>
      <c r="B205" s="94" t="s">
        <v>110</v>
      </c>
      <c r="C205" s="93"/>
      <c r="D205" s="69">
        <v>-1</v>
      </c>
      <c r="E205" s="68">
        <v>2.9</v>
      </c>
      <c r="F205" s="68">
        <v>2.9</v>
      </c>
      <c r="G205" s="68">
        <v>0.65</v>
      </c>
      <c r="H205" s="68">
        <f t="shared" si="29"/>
        <v>-5.4664999999999999</v>
      </c>
      <c r="I205" s="68"/>
      <c r="J205" s="114"/>
      <c r="K205" s="117"/>
      <c r="M205" s="134"/>
      <c r="N205" s="134"/>
      <c r="O205" s="133"/>
    </row>
    <row r="206" spans="1:15" ht="12.75" customHeight="1">
      <c r="A206" s="118"/>
      <c r="B206" s="94" t="s">
        <v>129</v>
      </c>
      <c r="C206" s="93"/>
      <c r="D206" s="69">
        <v>-1</v>
      </c>
      <c r="E206" s="68">
        <v>0.4</v>
      </c>
      <c r="F206" s="68">
        <v>0.6</v>
      </c>
      <c r="G206" s="68">
        <f>G204-G205</f>
        <v>2.1999999999999997</v>
      </c>
      <c r="H206" s="68">
        <f t="shared" si="29"/>
        <v>-0.52799999999999991</v>
      </c>
      <c r="I206" s="68"/>
      <c r="J206" s="114"/>
      <c r="K206" s="117"/>
      <c r="M206" s="134"/>
      <c r="N206" s="134"/>
      <c r="O206" s="133"/>
    </row>
    <row r="207" spans="1:15" ht="12.75" customHeight="1">
      <c r="A207" s="118"/>
      <c r="B207" s="119" t="s">
        <v>150</v>
      </c>
      <c r="C207" s="93"/>
      <c r="D207" s="69"/>
      <c r="E207" s="68"/>
      <c r="F207" s="68"/>
      <c r="G207" s="68"/>
      <c r="H207" s="68"/>
      <c r="I207" s="68"/>
      <c r="J207" s="114"/>
      <c r="K207" s="117"/>
      <c r="M207" s="134"/>
      <c r="N207" s="134"/>
      <c r="O207" s="133"/>
    </row>
    <row r="208" spans="1:15" ht="12.75" customHeight="1">
      <c r="A208" s="118"/>
      <c r="B208" s="94" t="s">
        <v>85</v>
      </c>
      <c r="C208" s="93"/>
      <c r="D208" s="69">
        <v>1</v>
      </c>
      <c r="E208" s="68">
        <f>3.3+0.3</f>
        <v>3.5999999999999996</v>
      </c>
      <c r="F208" s="68">
        <f>3.3+0.3</f>
        <v>3.5999999999999996</v>
      </c>
      <c r="G208" s="68">
        <f>1.7+0.7</f>
        <v>2.4</v>
      </c>
      <c r="H208" s="68">
        <f t="shared" ref="H208:H210" si="30">PRODUCT(D208:G208)</f>
        <v>31.103999999999992</v>
      </c>
      <c r="I208" s="68"/>
      <c r="J208" s="114"/>
      <c r="K208" s="117"/>
      <c r="M208" s="134"/>
      <c r="N208" s="134"/>
      <c r="O208" s="133"/>
    </row>
    <row r="209" spans="1:15" ht="12.75" customHeight="1">
      <c r="A209" s="118"/>
      <c r="B209" s="94" t="s">
        <v>110</v>
      </c>
      <c r="C209" s="93"/>
      <c r="D209" s="69">
        <v>-1</v>
      </c>
      <c r="E209" s="68">
        <v>3.3</v>
      </c>
      <c r="F209" s="68">
        <v>3.3</v>
      </c>
      <c r="G209" s="68">
        <v>0.8</v>
      </c>
      <c r="H209" s="68">
        <f t="shared" si="30"/>
        <v>-8.7119999999999997</v>
      </c>
      <c r="I209" s="68"/>
      <c r="J209" s="114"/>
      <c r="K209" s="117"/>
      <c r="M209" s="134"/>
      <c r="N209" s="134"/>
      <c r="O209" s="133"/>
    </row>
    <row r="210" spans="1:15" ht="12.75" customHeight="1">
      <c r="A210" s="118"/>
      <c r="B210" s="94" t="s">
        <v>129</v>
      </c>
      <c r="C210" s="93"/>
      <c r="D210" s="69">
        <v>-1</v>
      </c>
      <c r="E210" s="68">
        <v>0.4</v>
      </c>
      <c r="F210" s="68">
        <v>0.6</v>
      </c>
      <c r="G210" s="68">
        <f>G208-G209</f>
        <v>1.5999999999999999</v>
      </c>
      <c r="H210" s="68">
        <f t="shared" si="30"/>
        <v>-0.38399999999999995</v>
      </c>
      <c r="I210" s="68"/>
      <c r="J210" s="114"/>
      <c r="K210" s="117"/>
      <c r="M210" s="134"/>
      <c r="N210" s="134"/>
      <c r="O210" s="133"/>
    </row>
    <row r="211" spans="1:15" ht="12.75" customHeight="1">
      <c r="A211" s="118"/>
      <c r="B211" s="119" t="s">
        <v>151</v>
      </c>
      <c r="C211" s="93"/>
      <c r="D211" s="69"/>
      <c r="E211" s="68"/>
      <c r="F211" s="68"/>
      <c r="G211" s="68"/>
      <c r="H211" s="68"/>
      <c r="I211" s="68"/>
      <c r="J211" s="114"/>
      <c r="K211" s="117"/>
      <c r="M211" s="134"/>
      <c r="N211" s="134"/>
      <c r="O211" s="133"/>
    </row>
    <row r="212" spans="1:15" ht="12.75" customHeight="1">
      <c r="A212" s="118"/>
      <c r="B212" s="94" t="s">
        <v>85</v>
      </c>
      <c r="C212" s="93"/>
      <c r="D212" s="69">
        <v>1</v>
      </c>
      <c r="E212" s="68">
        <f>2.8+0.3</f>
        <v>3.0999999999999996</v>
      </c>
      <c r="F212" s="68">
        <f>2.8+0.3</f>
        <v>3.0999999999999996</v>
      </c>
      <c r="G212" s="68">
        <f>1.6+0.5</f>
        <v>2.1</v>
      </c>
      <c r="H212" s="68">
        <f>PRODUCT(D212:G212)</f>
        <v>20.180999999999997</v>
      </c>
      <c r="I212" s="68"/>
      <c r="J212" s="114"/>
      <c r="K212" s="117"/>
      <c r="M212" s="134"/>
      <c r="N212" s="134"/>
      <c r="O212" s="133"/>
    </row>
    <row r="213" spans="1:15" ht="12.75" customHeight="1">
      <c r="A213" s="118"/>
      <c r="B213" s="94" t="s">
        <v>110</v>
      </c>
      <c r="C213" s="93"/>
      <c r="D213" s="69">
        <v>-1</v>
      </c>
      <c r="E213" s="68">
        <v>2.8</v>
      </c>
      <c r="F213" s="68">
        <v>2.8</v>
      </c>
      <c r="G213" s="68">
        <v>0.6</v>
      </c>
      <c r="H213" s="68">
        <f t="shared" ref="H213" si="31">PRODUCT(D213:G213)</f>
        <v>-4.7039999999999988</v>
      </c>
      <c r="I213" s="68"/>
      <c r="J213" s="114"/>
      <c r="K213" s="117"/>
      <c r="M213" s="134"/>
      <c r="N213" s="134"/>
      <c r="O213" s="133"/>
    </row>
    <row r="214" spans="1:15" ht="12.75" customHeight="1">
      <c r="A214" s="115"/>
      <c r="B214" s="111" t="s">
        <v>129</v>
      </c>
      <c r="C214" s="140"/>
      <c r="D214" s="71">
        <v>-1</v>
      </c>
      <c r="E214" s="70">
        <v>0.5</v>
      </c>
      <c r="F214" s="70"/>
      <c r="G214" s="70">
        <f>G212-G213</f>
        <v>1.5</v>
      </c>
      <c r="H214" s="70">
        <f>((PI()/4)*(E214*E214))*G214*D214</f>
        <v>-0.2945243112740431</v>
      </c>
      <c r="I214" s="70"/>
      <c r="J214" s="141"/>
      <c r="K214" s="113"/>
      <c r="M214" s="134"/>
      <c r="N214" s="134"/>
      <c r="O214" s="133"/>
    </row>
    <row r="215" spans="1:15" ht="12.75" customHeight="1">
      <c r="A215" s="108"/>
      <c r="B215" s="105" t="s">
        <v>152</v>
      </c>
      <c r="C215" s="104"/>
      <c r="D215" s="73"/>
      <c r="E215" s="72"/>
      <c r="F215" s="72"/>
      <c r="G215" s="72"/>
      <c r="H215" s="72"/>
      <c r="I215" s="72"/>
      <c r="J215" s="124"/>
      <c r="K215" s="107"/>
      <c r="M215" s="134"/>
      <c r="N215" s="134"/>
      <c r="O215" s="133"/>
    </row>
    <row r="216" spans="1:15" ht="12.75" customHeight="1">
      <c r="A216" s="118"/>
      <c r="B216" s="94" t="s">
        <v>85</v>
      </c>
      <c r="C216" s="93"/>
      <c r="D216" s="69">
        <v>1</v>
      </c>
      <c r="E216" s="68">
        <f>2.9+0.3</f>
        <v>3.1999999999999997</v>
      </c>
      <c r="F216" s="68">
        <f>2.9+0.3</f>
        <v>3.1999999999999997</v>
      </c>
      <c r="G216" s="68">
        <f>1.7+0.55</f>
        <v>2.25</v>
      </c>
      <c r="H216" s="68">
        <f t="shared" ref="H216:H218" si="32">PRODUCT(D216:G216)</f>
        <v>23.039999999999996</v>
      </c>
      <c r="I216" s="68"/>
      <c r="J216" s="114"/>
      <c r="K216" s="117"/>
      <c r="M216" s="134"/>
      <c r="N216" s="134"/>
      <c r="O216" s="133"/>
    </row>
    <row r="217" spans="1:15" ht="12.75" customHeight="1">
      <c r="A217" s="118"/>
      <c r="B217" s="94" t="s">
        <v>110</v>
      </c>
      <c r="C217" s="93"/>
      <c r="D217" s="69">
        <v>-1</v>
      </c>
      <c r="E217" s="68">
        <v>2.9</v>
      </c>
      <c r="F217" s="68">
        <v>2.9</v>
      </c>
      <c r="G217" s="68">
        <v>0.65</v>
      </c>
      <c r="H217" s="68">
        <f t="shared" si="32"/>
        <v>-5.4664999999999999</v>
      </c>
      <c r="I217" s="68"/>
      <c r="J217" s="114"/>
      <c r="K217" s="117"/>
      <c r="M217" s="134"/>
      <c r="N217" s="134"/>
      <c r="O217" s="133"/>
    </row>
    <row r="218" spans="1:15" ht="12.75" customHeight="1">
      <c r="A218" s="118"/>
      <c r="B218" s="94" t="s">
        <v>129</v>
      </c>
      <c r="C218" s="93"/>
      <c r="D218" s="69">
        <v>-1</v>
      </c>
      <c r="E218" s="68">
        <v>0.4</v>
      </c>
      <c r="F218" s="68">
        <v>0.6</v>
      </c>
      <c r="G218" s="68">
        <f>G216-G217</f>
        <v>1.6</v>
      </c>
      <c r="H218" s="68">
        <f t="shared" si="32"/>
        <v>-0.38400000000000001</v>
      </c>
      <c r="I218" s="68"/>
      <c r="J218" s="114"/>
      <c r="K218" s="117"/>
      <c r="M218" s="134"/>
      <c r="N218" s="134"/>
      <c r="O218" s="133"/>
    </row>
    <row r="219" spans="1:15" ht="12.75" customHeight="1">
      <c r="A219" s="118"/>
      <c r="B219" s="119" t="s">
        <v>153</v>
      </c>
      <c r="C219" s="93"/>
      <c r="D219" s="69"/>
      <c r="E219" s="68"/>
      <c r="F219" s="68"/>
      <c r="G219" s="68"/>
      <c r="H219" s="68"/>
      <c r="I219" s="68"/>
      <c r="J219" s="114"/>
      <c r="K219" s="117"/>
      <c r="M219" s="134"/>
      <c r="N219" s="134"/>
      <c r="O219" s="133"/>
    </row>
    <row r="220" spans="1:15" ht="12.75" customHeight="1">
      <c r="A220" s="118"/>
      <c r="B220" s="94" t="s">
        <v>85</v>
      </c>
      <c r="C220" s="93"/>
      <c r="D220" s="69">
        <v>1</v>
      </c>
      <c r="E220" s="68">
        <f>3.3+0.3</f>
        <v>3.5999999999999996</v>
      </c>
      <c r="F220" s="68">
        <f>3.3+0.3</f>
        <v>3.5999999999999996</v>
      </c>
      <c r="G220" s="68">
        <f>1.7+0.7</f>
        <v>2.4</v>
      </c>
      <c r="H220" s="68">
        <f t="shared" ref="H220:H222" si="33">PRODUCT(D220:G220)</f>
        <v>31.103999999999992</v>
      </c>
      <c r="I220" s="68"/>
      <c r="J220" s="114"/>
      <c r="K220" s="117"/>
      <c r="M220" s="134"/>
      <c r="N220" s="134"/>
      <c r="O220" s="133"/>
    </row>
    <row r="221" spans="1:15" ht="12.75" customHeight="1">
      <c r="A221" s="118"/>
      <c r="B221" s="94" t="s">
        <v>110</v>
      </c>
      <c r="C221" s="93"/>
      <c r="D221" s="69">
        <v>-1</v>
      </c>
      <c r="E221" s="68">
        <v>3.3</v>
      </c>
      <c r="F221" s="68">
        <v>3.3</v>
      </c>
      <c r="G221" s="68">
        <v>0.8</v>
      </c>
      <c r="H221" s="68">
        <f t="shared" si="33"/>
        <v>-8.7119999999999997</v>
      </c>
      <c r="I221" s="68"/>
      <c r="J221" s="114"/>
      <c r="K221" s="117"/>
      <c r="M221" s="134"/>
      <c r="N221" s="134"/>
      <c r="O221" s="133"/>
    </row>
    <row r="222" spans="1:15" ht="12.75" customHeight="1">
      <c r="A222" s="115"/>
      <c r="B222" s="111" t="s">
        <v>129</v>
      </c>
      <c r="C222" s="140"/>
      <c r="D222" s="71">
        <v>-1</v>
      </c>
      <c r="E222" s="70">
        <v>0.4</v>
      </c>
      <c r="F222" s="70">
        <v>0.6</v>
      </c>
      <c r="G222" s="70">
        <f>G220-G221</f>
        <v>1.5999999999999999</v>
      </c>
      <c r="H222" s="70">
        <f t="shared" si="33"/>
        <v>-0.38399999999999995</v>
      </c>
      <c r="I222" s="70"/>
      <c r="J222" s="141"/>
      <c r="K222" s="113"/>
      <c r="M222" s="134"/>
      <c r="N222" s="134"/>
      <c r="O222" s="133"/>
    </row>
    <row r="223" spans="1:15" ht="12.75" customHeight="1">
      <c r="A223" s="108"/>
      <c r="B223" s="105" t="s">
        <v>293</v>
      </c>
      <c r="C223" s="104"/>
      <c r="D223" s="73"/>
      <c r="E223" s="72"/>
      <c r="F223" s="72"/>
      <c r="G223" s="72"/>
      <c r="H223" s="72"/>
      <c r="I223" s="72"/>
      <c r="J223" s="124"/>
      <c r="K223" s="107"/>
      <c r="M223" s="134"/>
      <c r="N223" s="134"/>
      <c r="O223" s="133"/>
    </row>
    <row r="224" spans="1:15" ht="12.75" customHeight="1">
      <c r="A224" s="118"/>
      <c r="B224" s="94" t="s">
        <v>240</v>
      </c>
      <c r="C224" s="93"/>
      <c r="D224" s="69">
        <v>3</v>
      </c>
      <c r="E224" s="68">
        <v>2.7</v>
      </c>
      <c r="F224" s="68">
        <v>2.7</v>
      </c>
      <c r="G224" s="68">
        <v>1.5</v>
      </c>
      <c r="H224" s="68">
        <f>PRODUCT(D224:G224)</f>
        <v>32.805000000000007</v>
      </c>
      <c r="I224" s="68"/>
      <c r="J224" s="114"/>
      <c r="K224" s="117"/>
      <c r="M224" s="134"/>
      <c r="N224" s="134"/>
      <c r="O224" s="133"/>
    </row>
    <row r="225" spans="1:15" ht="12.75" customHeight="1">
      <c r="A225" s="118"/>
      <c r="B225" s="94" t="s">
        <v>241</v>
      </c>
      <c r="C225" s="93"/>
      <c r="D225" s="69">
        <v>-3</v>
      </c>
      <c r="E225" s="68">
        <v>2.7</v>
      </c>
      <c r="F225" s="68">
        <v>2.7</v>
      </c>
      <c r="G225" s="68">
        <v>0.6</v>
      </c>
      <c r="H225" s="68">
        <f t="shared" ref="H225:H278" si="34">PRODUCT(D225:G225)</f>
        <v>-13.122000000000002</v>
      </c>
      <c r="I225" s="68"/>
      <c r="J225" s="114"/>
      <c r="K225" s="117"/>
      <c r="M225" s="134"/>
      <c r="N225" s="134"/>
      <c r="O225" s="133"/>
    </row>
    <row r="226" spans="1:15" ht="12.75" customHeight="1">
      <c r="A226" s="118"/>
      <c r="B226" s="94" t="s">
        <v>242</v>
      </c>
      <c r="C226" s="93"/>
      <c r="D226" s="69">
        <v>-3</v>
      </c>
      <c r="E226" s="68">
        <v>0.4</v>
      </c>
      <c r="F226" s="68">
        <v>0.7</v>
      </c>
      <c r="G226" s="68">
        <f>G224-G225</f>
        <v>0.9</v>
      </c>
      <c r="H226" s="68">
        <f t="shared" si="34"/>
        <v>-0.75600000000000012</v>
      </c>
      <c r="I226" s="68"/>
      <c r="J226" s="114"/>
      <c r="K226" s="117"/>
      <c r="M226" s="134"/>
      <c r="N226" s="134"/>
      <c r="O226" s="133"/>
    </row>
    <row r="227" spans="1:15" ht="12.75" customHeight="1">
      <c r="A227" s="118"/>
      <c r="B227" s="94" t="s">
        <v>245</v>
      </c>
      <c r="C227" s="93"/>
      <c r="D227" s="69">
        <v>3</v>
      </c>
      <c r="E227" s="68">
        <v>3.2</v>
      </c>
      <c r="F227" s="68">
        <v>3.2</v>
      </c>
      <c r="G227" s="68">
        <v>1.5</v>
      </c>
      <c r="H227" s="68">
        <f t="shared" si="34"/>
        <v>46.080000000000013</v>
      </c>
      <c r="I227" s="68"/>
      <c r="J227" s="114"/>
      <c r="K227" s="117"/>
      <c r="M227" s="134"/>
      <c r="N227" s="134"/>
      <c r="O227" s="133"/>
    </row>
    <row r="228" spans="1:15" ht="12.75" customHeight="1">
      <c r="A228" s="118"/>
      <c r="B228" s="94" t="s">
        <v>243</v>
      </c>
      <c r="C228" s="93"/>
      <c r="D228" s="69">
        <v>-3</v>
      </c>
      <c r="E228" s="68">
        <v>3.2</v>
      </c>
      <c r="F228" s="68">
        <v>3.2</v>
      </c>
      <c r="G228" s="68">
        <v>0.6</v>
      </c>
      <c r="H228" s="68">
        <f t="shared" si="34"/>
        <v>-18.432000000000002</v>
      </c>
      <c r="I228" s="68"/>
      <c r="J228" s="114"/>
      <c r="K228" s="117"/>
      <c r="M228" s="134"/>
      <c r="N228" s="134"/>
      <c r="O228" s="133"/>
    </row>
    <row r="229" spans="1:15" ht="12.75" customHeight="1">
      <c r="A229" s="118"/>
      <c r="B229" s="94" t="s">
        <v>242</v>
      </c>
      <c r="C229" s="93"/>
      <c r="D229" s="69">
        <v>-3</v>
      </c>
      <c r="E229" s="68">
        <v>0.4</v>
      </c>
      <c r="F229" s="68">
        <v>0.7</v>
      </c>
      <c r="G229" s="68">
        <f>G227-G228</f>
        <v>0.9</v>
      </c>
      <c r="H229" s="68">
        <f t="shared" si="34"/>
        <v>-0.75600000000000012</v>
      </c>
      <c r="I229" s="68"/>
      <c r="J229" s="114"/>
      <c r="K229" s="117"/>
      <c r="M229" s="134"/>
      <c r="N229" s="134"/>
      <c r="O229" s="133"/>
    </row>
    <row r="230" spans="1:15" ht="12.75" customHeight="1">
      <c r="A230" s="118"/>
      <c r="B230" s="94" t="s">
        <v>246</v>
      </c>
      <c r="C230" s="93"/>
      <c r="D230" s="69">
        <v>3</v>
      </c>
      <c r="E230" s="68">
        <v>2.7</v>
      </c>
      <c r="F230" s="68">
        <v>2.7</v>
      </c>
      <c r="G230" s="68">
        <v>1.5</v>
      </c>
      <c r="H230" s="68">
        <f t="shared" si="34"/>
        <v>32.805000000000007</v>
      </c>
      <c r="I230" s="68"/>
      <c r="J230" s="114"/>
      <c r="K230" s="117"/>
      <c r="M230" s="134"/>
      <c r="N230" s="134"/>
      <c r="O230" s="133"/>
    </row>
    <row r="231" spans="1:15" ht="12.75" customHeight="1">
      <c r="A231" s="118"/>
      <c r="B231" s="94" t="s">
        <v>244</v>
      </c>
      <c r="C231" s="93"/>
      <c r="D231" s="69">
        <v>-3</v>
      </c>
      <c r="E231" s="68">
        <v>2.7</v>
      </c>
      <c r="F231" s="68">
        <v>2.7</v>
      </c>
      <c r="G231" s="68">
        <v>0.6</v>
      </c>
      <c r="H231" s="68">
        <f t="shared" si="34"/>
        <v>-13.122000000000002</v>
      </c>
      <c r="I231" s="68"/>
      <c r="J231" s="114"/>
      <c r="K231" s="117"/>
      <c r="M231" s="134"/>
      <c r="N231" s="134"/>
      <c r="O231" s="133"/>
    </row>
    <row r="232" spans="1:15" ht="12.75" customHeight="1">
      <c r="A232" s="118"/>
      <c r="B232" s="94" t="s">
        <v>242</v>
      </c>
      <c r="C232" s="93"/>
      <c r="D232" s="69">
        <v>-2</v>
      </c>
      <c r="E232" s="68">
        <v>0.4</v>
      </c>
      <c r="F232" s="68">
        <v>0.7</v>
      </c>
      <c r="G232" s="68">
        <f>G230-G231</f>
        <v>0.9</v>
      </c>
      <c r="H232" s="68">
        <f t="shared" si="34"/>
        <v>-0.504</v>
      </c>
      <c r="I232" s="68"/>
      <c r="J232" s="114"/>
      <c r="K232" s="117"/>
      <c r="M232" s="134"/>
      <c r="N232" s="134"/>
      <c r="O232" s="133"/>
    </row>
    <row r="233" spans="1:15" ht="12.75" customHeight="1">
      <c r="A233" s="118"/>
      <c r="B233" s="94"/>
      <c r="C233" s="93"/>
      <c r="D233" s="69">
        <v>-1</v>
      </c>
      <c r="E233" s="68">
        <v>0.5</v>
      </c>
      <c r="F233" s="68"/>
      <c r="G233" s="68">
        <f>G230-G231</f>
        <v>0.9</v>
      </c>
      <c r="H233" s="68">
        <f>((PI()/4)*(E233*E233))*(G233)*D233</f>
        <v>-0.17671458676442586</v>
      </c>
      <c r="I233" s="68"/>
      <c r="J233" s="114"/>
      <c r="K233" s="117"/>
      <c r="M233" s="134"/>
      <c r="N233" s="134"/>
      <c r="O233" s="133"/>
    </row>
    <row r="234" spans="1:15" ht="12.75" customHeight="1" thickBot="1">
      <c r="A234" s="143"/>
      <c r="B234" s="147" t="s">
        <v>247</v>
      </c>
      <c r="C234" s="144"/>
      <c r="D234" s="95">
        <v>4</v>
      </c>
      <c r="E234" s="92">
        <v>3.3</v>
      </c>
      <c r="F234" s="92">
        <v>3.3</v>
      </c>
      <c r="G234" s="92">
        <v>1.5</v>
      </c>
      <c r="H234" s="92">
        <f t="shared" si="34"/>
        <v>65.339999999999989</v>
      </c>
      <c r="I234" s="92"/>
      <c r="J234" s="145"/>
      <c r="K234" s="146"/>
      <c r="M234" s="134"/>
      <c r="N234" s="134"/>
      <c r="O234" s="133"/>
    </row>
    <row r="235" spans="1:15" ht="12.75" customHeight="1" thickTop="1">
      <c r="A235" s="91"/>
      <c r="B235" s="90"/>
      <c r="C235" s="90"/>
      <c r="D235" s="90"/>
      <c r="E235" s="90"/>
      <c r="F235" s="90"/>
      <c r="G235" s="90"/>
      <c r="H235" s="90"/>
      <c r="I235" s="90"/>
      <c r="J235" s="90"/>
      <c r="K235" s="89"/>
      <c r="M235" s="134"/>
      <c r="N235" s="134"/>
      <c r="O235" s="133"/>
    </row>
    <row r="236" spans="1:15" ht="16.5" customHeight="1">
      <c r="A236" s="569" t="s">
        <v>29</v>
      </c>
      <c r="B236" s="570"/>
      <c r="C236" s="570"/>
      <c r="D236" s="570"/>
      <c r="E236" s="570"/>
      <c r="F236" s="570"/>
      <c r="G236" s="570"/>
      <c r="H236" s="570"/>
      <c r="I236" s="570"/>
      <c r="J236" s="570"/>
      <c r="K236" s="571"/>
      <c r="M236" s="134"/>
      <c r="N236" s="134"/>
      <c r="O236" s="133"/>
    </row>
    <row r="237" spans="1:15" ht="16.5" customHeight="1">
      <c r="A237" s="572" t="s">
        <v>69</v>
      </c>
      <c r="B237" s="573"/>
      <c r="C237" s="573"/>
      <c r="D237" s="573"/>
      <c r="E237" s="573"/>
      <c r="F237" s="573"/>
      <c r="G237" s="573"/>
      <c r="H237" s="573"/>
      <c r="I237" s="573"/>
      <c r="J237" s="573"/>
      <c r="K237" s="574"/>
      <c r="M237" s="134"/>
      <c r="N237" s="134"/>
      <c r="O237" s="133"/>
    </row>
    <row r="238" spans="1:15" ht="14.25" customHeight="1">
      <c r="A238" s="88"/>
      <c r="B238" s="85"/>
      <c r="C238" s="85"/>
      <c r="D238" s="85"/>
      <c r="E238" s="85"/>
      <c r="F238" s="85"/>
      <c r="G238" s="85"/>
      <c r="H238" s="85"/>
      <c r="I238" s="85"/>
      <c r="J238" s="85"/>
      <c r="K238" s="87"/>
      <c r="M238" s="134"/>
      <c r="N238" s="134"/>
      <c r="O238" s="133"/>
    </row>
    <row r="239" spans="1:15" ht="12.75" customHeight="1">
      <c r="A239" s="55"/>
      <c r="B239" s="86"/>
      <c r="C239" s="86"/>
      <c r="D239" s="86"/>
      <c r="E239" s="86"/>
      <c r="F239" s="86"/>
      <c r="G239" s="86"/>
      <c r="H239" s="86"/>
      <c r="I239" s="86"/>
      <c r="J239" s="86"/>
      <c r="K239" s="81"/>
      <c r="M239" s="134"/>
      <c r="N239" s="134"/>
      <c r="O239" s="133"/>
    </row>
    <row r="240" spans="1:15" ht="12.75" customHeight="1">
      <c r="A240" s="575" t="s">
        <v>68</v>
      </c>
      <c r="B240" s="576"/>
      <c r="C240" s="576"/>
      <c r="D240" s="576"/>
      <c r="E240" s="576"/>
      <c r="F240" s="576"/>
      <c r="G240" s="576"/>
      <c r="H240" s="576"/>
      <c r="I240" s="576"/>
      <c r="J240" s="576"/>
      <c r="K240" s="577"/>
      <c r="M240" s="134"/>
      <c r="N240" s="134"/>
      <c r="O240" s="133"/>
    </row>
    <row r="241" spans="1:15" ht="6.75" customHeight="1">
      <c r="A241" s="55"/>
      <c r="B241" s="86"/>
      <c r="C241" s="86"/>
      <c r="D241" s="86"/>
      <c r="E241" s="86"/>
      <c r="F241" s="86"/>
      <c r="G241" s="86"/>
      <c r="H241" s="86"/>
      <c r="I241" s="86"/>
      <c r="J241" s="85"/>
      <c r="K241" s="81"/>
      <c r="M241" s="134"/>
      <c r="N241" s="134"/>
      <c r="O241" s="133"/>
    </row>
    <row r="242" spans="1:15" ht="12.75" customHeight="1">
      <c r="A242" s="84"/>
      <c r="B242" s="83" t="s">
        <v>11</v>
      </c>
      <c r="C242" s="578" t="s">
        <v>361</v>
      </c>
      <c r="D242" s="579"/>
      <c r="E242" s="579"/>
      <c r="F242" s="579"/>
      <c r="G242" s="579"/>
      <c r="H242" s="579"/>
      <c r="I242" s="579"/>
      <c r="J242" s="580"/>
      <c r="K242" s="81"/>
      <c r="M242" s="134"/>
      <c r="N242" s="134"/>
      <c r="O242" s="133"/>
    </row>
    <row r="243" spans="1:15" ht="6.75" customHeight="1">
      <c r="A243" s="80"/>
      <c r="K243" s="81"/>
      <c r="M243" s="134"/>
      <c r="N243" s="134"/>
      <c r="O243" s="133"/>
    </row>
    <row r="244" spans="1:15" ht="12.75" customHeight="1">
      <c r="A244" s="80"/>
      <c r="B244" s="82" t="s">
        <v>67</v>
      </c>
      <c r="C244" s="581" t="s">
        <v>66</v>
      </c>
      <c r="D244" s="582"/>
      <c r="E244" s="582"/>
      <c r="F244" s="582"/>
      <c r="G244" s="582"/>
      <c r="H244" s="582"/>
      <c r="I244" s="582"/>
      <c r="J244" s="583"/>
      <c r="K244" s="81"/>
      <c r="M244" s="134"/>
      <c r="N244" s="134"/>
      <c r="O244" s="133"/>
    </row>
    <row r="245" spans="1:15" ht="6" customHeight="1">
      <c r="A245" s="80"/>
      <c r="B245" s="79"/>
      <c r="D245" s="78"/>
      <c r="E245" s="78"/>
      <c r="F245" s="78"/>
      <c r="G245" s="78"/>
      <c r="H245" s="78"/>
      <c r="I245" s="78"/>
      <c r="K245" s="77"/>
      <c r="M245" s="134"/>
      <c r="N245" s="134"/>
      <c r="O245" s="133"/>
    </row>
    <row r="246" spans="1:15" ht="12.75" customHeight="1">
      <c r="A246" s="584" t="s">
        <v>84</v>
      </c>
      <c r="B246" s="585" t="s">
        <v>83</v>
      </c>
      <c r="C246" s="585" t="s">
        <v>82</v>
      </c>
      <c r="D246" s="585" t="s">
        <v>81</v>
      </c>
      <c r="E246" s="564" t="s">
        <v>80</v>
      </c>
      <c r="F246" s="564"/>
      <c r="G246" s="564"/>
      <c r="H246" s="564" t="s">
        <v>79</v>
      </c>
      <c r="I246" s="564"/>
      <c r="J246" s="564"/>
      <c r="K246" s="565" t="s">
        <v>58</v>
      </c>
      <c r="M246" s="134"/>
      <c r="N246" s="134"/>
      <c r="O246" s="133"/>
    </row>
    <row r="247" spans="1:15" ht="12.75" customHeight="1">
      <c r="A247" s="584"/>
      <c r="B247" s="585"/>
      <c r="C247" s="585"/>
      <c r="D247" s="585"/>
      <c r="E247" s="125" t="s">
        <v>78</v>
      </c>
      <c r="F247" s="125" t="s">
        <v>77</v>
      </c>
      <c r="G247" s="125" t="s">
        <v>76</v>
      </c>
      <c r="H247" s="125" t="s">
        <v>75</v>
      </c>
      <c r="I247" s="125" t="s">
        <v>74</v>
      </c>
      <c r="J247" s="125" t="s">
        <v>73</v>
      </c>
      <c r="K247" s="565"/>
      <c r="M247" s="134"/>
      <c r="N247" s="134"/>
      <c r="O247" s="133"/>
    </row>
    <row r="248" spans="1:15" ht="12.75" customHeight="1">
      <c r="A248" s="584"/>
      <c r="B248" s="585"/>
      <c r="C248" s="585"/>
      <c r="D248" s="585"/>
      <c r="E248" s="125" t="s">
        <v>70</v>
      </c>
      <c r="F248" s="125" t="s">
        <v>70</v>
      </c>
      <c r="G248" s="125" t="s">
        <v>70</v>
      </c>
      <c r="H248" s="125" t="s">
        <v>72</v>
      </c>
      <c r="I248" s="125" t="s">
        <v>71</v>
      </c>
      <c r="J248" s="125" t="s">
        <v>70</v>
      </c>
      <c r="K248" s="565"/>
      <c r="M248" s="134"/>
      <c r="N248" s="134"/>
      <c r="O248" s="133"/>
    </row>
    <row r="249" spans="1:15" ht="12.75" customHeight="1">
      <c r="A249" s="66">
        <v>7</v>
      </c>
      <c r="B249" s="65" t="s">
        <v>119</v>
      </c>
      <c r="C249" s="64" t="s">
        <v>48</v>
      </c>
      <c r="D249" s="76"/>
      <c r="E249" s="75"/>
      <c r="F249" s="75"/>
      <c r="G249" s="75"/>
      <c r="H249" s="75"/>
      <c r="I249" s="75"/>
      <c r="J249" s="74"/>
      <c r="K249" s="63"/>
      <c r="M249" s="134"/>
      <c r="N249" s="134"/>
      <c r="O249" s="133"/>
    </row>
    <row r="250" spans="1:15" ht="12.75" customHeight="1">
      <c r="A250" s="116"/>
      <c r="B250" s="161" t="s">
        <v>248</v>
      </c>
      <c r="C250" s="162"/>
      <c r="D250" s="163">
        <v>-4</v>
      </c>
      <c r="E250" s="67">
        <v>3.3</v>
      </c>
      <c r="F250" s="67">
        <v>3.3</v>
      </c>
      <c r="G250" s="67">
        <v>0.75</v>
      </c>
      <c r="H250" s="67">
        <f t="shared" si="34"/>
        <v>-32.669999999999995</v>
      </c>
      <c r="I250" s="67"/>
      <c r="J250" s="128"/>
      <c r="K250" s="164"/>
      <c r="M250" s="134"/>
      <c r="N250" s="134"/>
      <c r="O250" s="133"/>
    </row>
    <row r="251" spans="1:15" ht="12.75" customHeight="1">
      <c r="A251" s="118"/>
      <c r="B251" s="94" t="s">
        <v>242</v>
      </c>
      <c r="C251" s="93"/>
      <c r="D251" s="69">
        <v>-4</v>
      </c>
      <c r="E251" s="68">
        <v>0.4</v>
      </c>
      <c r="F251" s="68">
        <v>0.6</v>
      </c>
      <c r="G251" s="68">
        <f>G234-G250</f>
        <v>0.75</v>
      </c>
      <c r="H251" s="68">
        <f t="shared" si="34"/>
        <v>-0.72</v>
      </c>
      <c r="I251" s="68"/>
      <c r="J251" s="114"/>
      <c r="K251" s="117"/>
      <c r="M251" s="134"/>
      <c r="N251" s="134"/>
      <c r="O251" s="133"/>
    </row>
    <row r="252" spans="1:15" ht="12.75" customHeight="1">
      <c r="A252" s="118"/>
      <c r="B252" s="94" t="s">
        <v>249</v>
      </c>
      <c r="C252" s="93"/>
      <c r="D252" s="69">
        <v>3</v>
      </c>
      <c r="E252" s="68">
        <v>3.2</v>
      </c>
      <c r="F252" s="68">
        <v>3.2</v>
      </c>
      <c r="G252" s="68">
        <v>1.5</v>
      </c>
      <c r="H252" s="68">
        <f t="shared" si="34"/>
        <v>46.080000000000013</v>
      </c>
      <c r="I252" s="68"/>
      <c r="J252" s="114"/>
      <c r="K252" s="117"/>
      <c r="M252" s="134"/>
      <c r="N252" s="134"/>
      <c r="O252" s="133"/>
    </row>
    <row r="253" spans="1:15" ht="12.75" customHeight="1">
      <c r="A253" s="118"/>
      <c r="B253" s="94" t="s">
        <v>250</v>
      </c>
      <c r="C253" s="93"/>
      <c r="D253" s="69">
        <v>-3</v>
      </c>
      <c r="E253" s="68">
        <v>3.2</v>
      </c>
      <c r="F253" s="68">
        <v>3.2</v>
      </c>
      <c r="G253" s="68">
        <v>0.7</v>
      </c>
      <c r="H253" s="68">
        <f t="shared" si="34"/>
        <v>-21.504000000000001</v>
      </c>
      <c r="I253" s="68"/>
      <c r="J253" s="114"/>
      <c r="K253" s="117"/>
      <c r="M253" s="134"/>
      <c r="N253" s="134"/>
      <c r="O253" s="133"/>
    </row>
    <row r="254" spans="1:15" ht="12.75" customHeight="1">
      <c r="A254" s="118"/>
      <c r="B254" s="94" t="s">
        <v>242</v>
      </c>
      <c r="C254" s="93"/>
      <c r="D254" s="69">
        <v>-2</v>
      </c>
      <c r="E254" s="68">
        <v>0.4</v>
      </c>
      <c r="F254" s="68">
        <v>0.6</v>
      </c>
      <c r="G254" s="68">
        <f>G252-G253</f>
        <v>0.8</v>
      </c>
      <c r="H254" s="68">
        <f t="shared" si="34"/>
        <v>-0.38400000000000001</v>
      </c>
      <c r="I254" s="68"/>
      <c r="J254" s="114"/>
      <c r="K254" s="117"/>
      <c r="M254" s="134"/>
      <c r="N254" s="134"/>
      <c r="O254" s="133"/>
    </row>
    <row r="255" spans="1:15" ht="12.75" customHeight="1">
      <c r="A255" s="118"/>
      <c r="B255" s="94"/>
      <c r="C255" s="93"/>
      <c r="D255" s="69">
        <v>-1</v>
      </c>
      <c r="E255" s="68">
        <v>0.4</v>
      </c>
      <c r="F255" s="68">
        <v>0.7</v>
      </c>
      <c r="G255" s="68">
        <f>G252-G253</f>
        <v>0.8</v>
      </c>
      <c r="H255" s="68">
        <f t="shared" si="34"/>
        <v>-0.22399999999999998</v>
      </c>
      <c r="I255" s="68"/>
      <c r="J255" s="114"/>
      <c r="K255" s="117"/>
      <c r="M255" s="134"/>
      <c r="N255" s="134"/>
      <c r="O255" s="133"/>
    </row>
    <row r="256" spans="1:15" ht="12.75" customHeight="1">
      <c r="A256" s="118"/>
      <c r="B256" s="94" t="s">
        <v>251</v>
      </c>
      <c r="C256" s="93"/>
      <c r="D256" s="69">
        <v>5</v>
      </c>
      <c r="E256" s="68">
        <v>1.4</v>
      </c>
      <c r="F256" s="68">
        <v>1.4</v>
      </c>
      <c r="G256" s="68">
        <v>1.5</v>
      </c>
      <c r="H256" s="68">
        <f t="shared" si="34"/>
        <v>14.7</v>
      </c>
      <c r="I256" s="68"/>
      <c r="J256" s="114"/>
      <c r="K256" s="117"/>
      <c r="M256" s="134"/>
      <c r="N256" s="134"/>
      <c r="O256" s="133"/>
    </row>
    <row r="257" spans="1:15" ht="12.75" customHeight="1">
      <c r="A257" s="118"/>
      <c r="B257" s="94" t="s">
        <v>252</v>
      </c>
      <c r="C257" s="93"/>
      <c r="D257" s="69">
        <v>-5</v>
      </c>
      <c r="E257" s="68">
        <v>1.4</v>
      </c>
      <c r="F257" s="68">
        <v>1.4</v>
      </c>
      <c r="G257" s="68">
        <v>0.3</v>
      </c>
      <c r="H257" s="68">
        <f t="shared" si="34"/>
        <v>-2.9399999999999995</v>
      </c>
      <c r="I257" s="68"/>
      <c r="J257" s="114"/>
      <c r="K257" s="117"/>
      <c r="M257" s="134"/>
      <c r="N257" s="134"/>
      <c r="O257" s="133"/>
    </row>
    <row r="258" spans="1:15" ht="12.75" customHeight="1">
      <c r="A258" s="118"/>
      <c r="B258" s="94" t="s">
        <v>242</v>
      </c>
      <c r="C258" s="93"/>
      <c r="D258" s="69">
        <v>-5</v>
      </c>
      <c r="E258" s="68">
        <v>0.3</v>
      </c>
      <c r="F258" s="68">
        <v>0.3</v>
      </c>
      <c r="G258" s="68">
        <f>G256-G257</f>
        <v>1.2</v>
      </c>
      <c r="H258" s="68">
        <f t="shared" si="34"/>
        <v>-0.53999999999999992</v>
      </c>
      <c r="I258" s="68"/>
      <c r="J258" s="114"/>
      <c r="K258" s="117"/>
      <c r="M258" s="134"/>
      <c r="N258" s="134"/>
      <c r="O258" s="133"/>
    </row>
    <row r="259" spans="1:15" ht="12.75" customHeight="1">
      <c r="A259" s="118"/>
      <c r="B259" s="94" t="s">
        <v>253</v>
      </c>
      <c r="C259" s="93"/>
      <c r="D259" s="69">
        <v>2</v>
      </c>
      <c r="E259" s="68">
        <v>2.2000000000000002</v>
      </c>
      <c r="F259" s="68">
        <v>2.2000000000000002</v>
      </c>
      <c r="G259" s="68">
        <v>1.5</v>
      </c>
      <c r="H259" s="68">
        <f t="shared" si="34"/>
        <v>14.520000000000003</v>
      </c>
      <c r="I259" s="68"/>
      <c r="J259" s="114"/>
      <c r="K259" s="117"/>
      <c r="M259" s="134"/>
      <c r="N259" s="134"/>
      <c r="O259" s="133"/>
    </row>
    <row r="260" spans="1:15" ht="12.75" customHeight="1">
      <c r="A260" s="118"/>
      <c r="B260" s="94" t="s">
        <v>254</v>
      </c>
      <c r="C260" s="93"/>
      <c r="D260" s="69">
        <v>-2</v>
      </c>
      <c r="E260" s="68">
        <v>2.2000000000000002</v>
      </c>
      <c r="F260" s="68">
        <v>2.2000000000000002</v>
      </c>
      <c r="G260" s="68">
        <v>0.5</v>
      </c>
      <c r="H260" s="68">
        <f t="shared" si="34"/>
        <v>-4.8400000000000007</v>
      </c>
      <c r="I260" s="68"/>
      <c r="J260" s="114"/>
      <c r="K260" s="117"/>
      <c r="M260" s="134"/>
      <c r="N260" s="134"/>
      <c r="O260" s="133"/>
    </row>
    <row r="261" spans="1:15" ht="12.75" customHeight="1">
      <c r="A261" s="118"/>
      <c r="B261" s="94" t="s">
        <v>242</v>
      </c>
      <c r="C261" s="93"/>
      <c r="D261" s="69">
        <v>-1</v>
      </c>
      <c r="E261" s="68">
        <v>0.3</v>
      </c>
      <c r="F261" s="68">
        <v>0.5</v>
      </c>
      <c r="G261" s="68">
        <f>G259-G260</f>
        <v>1</v>
      </c>
      <c r="H261" s="68">
        <f t="shared" si="34"/>
        <v>-0.15</v>
      </c>
      <c r="I261" s="68"/>
      <c r="J261" s="114"/>
      <c r="K261" s="117"/>
      <c r="M261" s="134"/>
      <c r="N261" s="134"/>
      <c r="O261" s="133"/>
    </row>
    <row r="262" spans="1:15" ht="12.75" customHeight="1">
      <c r="A262" s="118"/>
      <c r="B262" s="94"/>
      <c r="C262" s="93"/>
      <c r="D262" s="69">
        <v>-1</v>
      </c>
      <c r="E262" s="68">
        <v>0.3</v>
      </c>
      <c r="F262" s="68">
        <v>0.3</v>
      </c>
      <c r="G262" s="68">
        <f>G259-G260</f>
        <v>1</v>
      </c>
      <c r="H262" s="68">
        <f t="shared" si="34"/>
        <v>-0.09</v>
      </c>
      <c r="I262" s="68"/>
      <c r="J262" s="114"/>
      <c r="K262" s="117"/>
      <c r="M262" s="134"/>
      <c r="N262" s="134"/>
      <c r="O262" s="133"/>
    </row>
    <row r="263" spans="1:15" ht="12.75" customHeight="1">
      <c r="A263" s="118"/>
      <c r="B263" s="94" t="s">
        <v>255</v>
      </c>
      <c r="C263" s="93"/>
      <c r="D263" s="69">
        <v>4</v>
      </c>
      <c r="E263" s="68">
        <v>2.5</v>
      </c>
      <c r="F263" s="68">
        <v>2.5</v>
      </c>
      <c r="G263" s="68">
        <v>1.5</v>
      </c>
      <c r="H263" s="68">
        <f t="shared" si="34"/>
        <v>37.5</v>
      </c>
      <c r="I263" s="68"/>
      <c r="J263" s="114"/>
      <c r="K263" s="117"/>
      <c r="M263" s="134"/>
      <c r="N263" s="134"/>
      <c r="O263" s="133"/>
    </row>
    <row r="264" spans="1:15" ht="12.75" customHeight="1">
      <c r="A264" s="118"/>
      <c r="B264" s="94" t="s">
        <v>256</v>
      </c>
      <c r="C264" s="93"/>
      <c r="D264" s="69">
        <v>-4</v>
      </c>
      <c r="E264" s="68">
        <v>2.5</v>
      </c>
      <c r="F264" s="68">
        <v>2.5</v>
      </c>
      <c r="G264" s="68">
        <v>0.55000000000000004</v>
      </c>
      <c r="H264" s="68">
        <f t="shared" si="34"/>
        <v>-13.750000000000002</v>
      </c>
      <c r="I264" s="68"/>
      <c r="J264" s="114"/>
      <c r="K264" s="117"/>
      <c r="M264" s="134"/>
      <c r="N264" s="134"/>
      <c r="O264" s="133"/>
    </row>
    <row r="265" spans="1:15" ht="12.75" customHeight="1">
      <c r="A265" s="118"/>
      <c r="B265" s="94" t="s">
        <v>242</v>
      </c>
      <c r="C265" s="93"/>
      <c r="D265" s="69">
        <v>-1</v>
      </c>
      <c r="E265" s="68">
        <v>0.5</v>
      </c>
      <c r="F265" s="68">
        <v>0.3</v>
      </c>
      <c r="G265" s="68">
        <f>G263-G264</f>
        <v>0.95</v>
      </c>
      <c r="H265" s="68">
        <f t="shared" si="34"/>
        <v>-0.14249999999999999</v>
      </c>
      <c r="I265" s="68"/>
      <c r="J265" s="114"/>
      <c r="K265" s="117"/>
      <c r="M265" s="134"/>
      <c r="N265" s="134"/>
      <c r="O265" s="133"/>
    </row>
    <row r="266" spans="1:15" ht="12.75" customHeight="1">
      <c r="A266" s="118"/>
      <c r="B266" s="94"/>
      <c r="C266" s="93"/>
      <c r="D266" s="69">
        <v>-1</v>
      </c>
      <c r="E266" s="68">
        <v>0.4</v>
      </c>
      <c r="F266" s="68">
        <v>0.4</v>
      </c>
      <c r="G266" s="68">
        <f>G263-G264</f>
        <v>0.95</v>
      </c>
      <c r="H266" s="68">
        <f t="shared" si="34"/>
        <v>-0.15200000000000002</v>
      </c>
      <c r="I266" s="68"/>
      <c r="J266" s="114"/>
      <c r="K266" s="117"/>
      <c r="M266" s="134"/>
      <c r="N266" s="134"/>
      <c r="O266" s="133"/>
    </row>
    <row r="267" spans="1:15" ht="12.75" customHeight="1">
      <c r="A267" s="118"/>
      <c r="B267" s="94"/>
      <c r="C267" s="93"/>
      <c r="D267" s="69">
        <v>-1</v>
      </c>
      <c r="E267" s="68">
        <v>0.4</v>
      </c>
      <c r="F267" s="68">
        <v>0.6</v>
      </c>
      <c r="G267" s="68">
        <f>G263-G264</f>
        <v>0.95</v>
      </c>
      <c r="H267" s="68">
        <f t="shared" si="34"/>
        <v>-0.22799999999999998</v>
      </c>
      <c r="I267" s="68"/>
      <c r="J267" s="114"/>
      <c r="K267" s="117"/>
      <c r="M267" s="134"/>
      <c r="N267" s="134"/>
      <c r="O267" s="133"/>
    </row>
    <row r="268" spans="1:15" ht="12.75" customHeight="1">
      <c r="A268" s="118"/>
      <c r="B268" s="94"/>
      <c r="C268" s="93"/>
      <c r="D268" s="69">
        <v>-1</v>
      </c>
      <c r="E268" s="68">
        <v>0.4</v>
      </c>
      <c r="F268" s="68">
        <v>0.7</v>
      </c>
      <c r="G268" s="68">
        <f>G263-G264</f>
        <v>0.95</v>
      </c>
      <c r="H268" s="68">
        <f t="shared" si="34"/>
        <v>-0.26599999999999996</v>
      </c>
      <c r="I268" s="68"/>
      <c r="J268" s="114"/>
      <c r="K268" s="117"/>
      <c r="M268" s="134"/>
      <c r="N268" s="134"/>
      <c r="O268" s="133"/>
    </row>
    <row r="269" spans="1:15" ht="12.75" customHeight="1">
      <c r="A269" s="118"/>
      <c r="B269" s="94" t="s">
        <v>257</v>
      </c>
      <c r="C269" s="93"/>
      <c r="D269" s="69">
        <v>2</v>
      </c>
      <c r="E269" s="68">
        <v>2.8</v>
      </c>
      <c r="F269" s="68">
        <v>2.8</v>
      </c>
      <c r="G269" s="68">
        <v>1.5</v>
      </c>
      <c r="H269" s="68">
        <f t="shared" si="34"/>
        <v>23.519999999999996</v>
      </c>
      <c r="I269" s="68"/>
      <c r="J269" s="114"/>
      <c r="K269" s="117"/>
      <c r="M269" s="134"/>
      <c r="N269" s="134"/>
      <c r="O269" s="133"/>
    </row>
    <row r="270" spans="1:15" ht="12.75" customHeight="1">
      <c r="A270" s="118"/>
      <c r="B270" s="94" t="s">
        <v>258</v>
      </c>
      <c r="C270" s="93"/>
      <c r="D270" s="69">
        <v>-2</v>
      </c>
      <c r="E270" s="68">
        <v>2.8</v>
      </c>
      <c r="F270" s="68">
        <v>2.8</v>
      </c>
      <c r="G270" s="68">
        <v>0.6</v>
      </c>
      <c r="H270" s="68">
        <f t="shared" si="34"/>
        <v>-9.4079999999999977</v>
      </c>
      <c r="I270" s="68"/>
      <c r="J270" s="114"/>
      <c r="K270" s="117"/>
      <c r="M270" s="134"/>
      <c r="N270" s="134"/>
      <c r="O270" s="133"/>
    </row>
    <row r="271" spans="1:15" ht="12.75" customHeight="1">
      <c r="A271" s="118"/>
      <c r="B271" s="94" t="s">
        <v>242</v>
      </c>
      <c r="C271" s="93"/>
      <c r="D271" s="69">
        <v>-2</v>
      </c>
      <c r="E271" s="68">
        <v>0.4</v>
      </c>
      <c r="F271" s="68">
        <v>0.7</v>
      </c>
      <c r="G271" s="68">
        <f>G269-G270</f>
        <v>0.9</v>
      </c>
      <c r="H271" s="68">
        <f t="shared" si="34"/>
        <v>-0.504</v>
      </c>
      <c r="I271" s="68"/>
      <c r="J271" s="114"/>
      <c r="K271" s="117"/>
      <c r="M271" s="134"/>
      <c r="N271" s="134"/>
      <c r="O271" s="133"/>
    </row>
    <row r="272" spans="1:15" ht="12.75" customHeight="1">
      <c r="A272" s="118"/>
      <c r="B272" s="94" t="s">
        <v>259</v>
      </c>
      <c r="C272" s="93"/>
      <c r="D272" s="69">
        <v>2</v>
      </c>
      <c r="E272" s="68">
        <v>3.4</v>
      </c>
      <c r="F272" s="68">
        <v>3.4</v>
      </c>
      <c r="G272" s="68">
        <v>1.5</v>
      </c>
      <c r="H272" s="68">
        <f t="shared" si="34"/>
        <v>34.679999999999993</v>
      </c>
      <c r="I272" s="68"/>
      <c r="J272" s="114"/>
      <c r="K272" s="117"/>
      <c r="M272" s="134"/>
      <c r="N272" s="134"/>
      <c r="O272" s="133"/>
    </row>
    <row r="273" spans="1:15" ht="12.75" customHeight="1">
      <c r="A273" s="118"/>
      <c r="B273" s="94" t="s">
        <v>260</v>
      </c>
      <c r="C273" s="93"/>
      <c r="D273" s="69">
        <v>-2</v>
      </c>
      <c r="E273" s="68">
        <v>3.4</v>
      </c>
      <c r="F273" s="68">
        <v>3.4</v>
      </c>
      <c r="G273" s="68">
        <v>0.75</v>
      </c>
      <c r="H273" s="68">
        <f t="shared" si="34"/>
        <v>-17.339999999999996</v>
      </c>
      <c r="I273" s="68"/>
      <c r="J273" s="114"/>
      <c r="K273" s="117"/>
      <c r="M273" s="134"/>
      <c r="N273" s="134"/>
      <c r="O273" s="133"/>
    </row>
    <row r="274" spans="1:15" ht="12.75" customHeight="1">
      <c r="A274" s="118"/>
      <c r="B274" s="94" t="s">
        <v>242</v>
      </c>
      <c r="C274" s="93"/>
      <c r="D274" s="69">
        <v>-1</v>
      </c>
      <c r="E274" s="68">
        <v>0.4</v>
      </c>
      <c r="F274" s="68">
        <v>0.7</v>
      </c>
      <c r="G274" s="68">
        <f>G272-G273</f>
        <v>0.75</v>
      </c>
      <c r="H274" s="68">
        <f t="shared" si="34"/>
        <v>-0.20999999999999996</v>
      </c>
      <c r="I274" s="68"/>
      <c r="J274" s="114"/>
      <c r="K274" s="117"/>
      <c r="M274" s="134"/>
      <c r="N274" s="134"/>
      <c r="O274" s="133"/>
    </row>
    <row r="275" spans="1:15" ht="12.75" customHeight="1">
      <c r="A275" s="118"/>
      <c r="B275" s="94"/>
      <c r="C275" s="93"/>
      <c r="D275" s="69">
        <v>-1</v>
      </c>
      <c r="E275" s="68">
        <v>0.6</v>
      </c>
      <c r="F275" s="68">
        <v>0.4</v>
      </c>
      <c r="G275" s="68">
        <f>G272-G274</f>
        <v>0.75</v>
      </c>
      <c r="H275" s="68">
        <f t="shared" si="34"/>
        <v>-0.18</v>
      </c>
      <c r="I275" s="68"/>
      <c r="J275" s="114"/>
      <c r="K275" s="117"/>
      <c r="M275" s="134"/>
      <c r="N275" s="134"/>
      <c r="O275" s="133"/>
    </row>
    <row r="276" spans="1:15" ht="12.75" customHeight="1">
      <c r="A276" s="118"/>
      <c r="B276" s="94" t="s">
        <v>261</v>
      </c>
      <c r="C276" s="93"/>
      <c r="D276" s="69">
        <v>3</v>
      </c>
      <c r="E276" s="68">
        <v>1.75</v>
      </c>
      <c r="F276" s="68">
        <v>1.75</v>
      </c>
      <c r="G276" s="68">
        <v>1.5</v>
      </c>
      <c r="H276" s="68">
        <f t="shared" si="34"/>
        <v>13.78125</v>
      </c>
      <c r="I276" s="68"/>
      <c r="J276" s="114"/>
      <c r="K276" s="117"/>
      <c r="M276" s="134"/>
      <c r="N276" s="134"/>
      <c r="O276" s="133"/>
    </row>
    <row r="277" spans="1:15" ht="12.75" customHeight="1">
      <c r="A277" s="118"/>
      <c r="B277" s="94" t="s">
        <v>262</v>
      </c>
      <c r="C277" s="93"/>
      <c r="D277" s="69">
        <v>-3</v>
      </c>
      <c r="E277" s="68">
        <v>1.75</v>
      </c>
      <c r="F277" s="68">
        <v>1.75</v>
      </c>
      <c r="G277" s="68">
        <v>0.4</v>
      </c>
      <c r="H277" s="68">
        <f t="shared" si="34"/>
        <v>-3.6750000000000003</v>
      </c>
      <c r="I277" s="68"/>
      <c r="J277" s="114"/>
      <c r="K277" s="117"/>
      <c r="M277" s="134"/>
      <c r="N277" s="134"/>
      <c r="O277" s="133"/>
    </row>
    <row r="278" spans="1:15" ht="12.75" customHeight="1">
      <c r="A278" s="118"/>
      <c r="B278" s="94" t="s">
        <v>242</v>
      </c>
      <c r="C278" s="93"/>
      <c r="D278" s="69">
        <v>-2</v>
      </c>
      <c r="E278" s="68">
        <v>0.3</v>
      </c>
      <c r="F278" s="68">
        <v>0.3</v>
      </c>
      <c r="G278" s="68">
        <f>G276-G277</f>
        <v>1.1000000000000001</v>
      </c>
      <c r="H278" s="68">
        <f t="shared" si="34"/>
        <v>-0.19800000000000001</v>
      </c>
      <c r="I278" s="68"/>
      <c r="J278" s="114"/>
      <c r="K278" s="117"/>
      <c r="M278" s="134"/>
      <c r="N278" s="134"/>
      <c r="O278" s="133"/>
    </row>
    <row r="279" spans="1:15" ht="12.75" customHeight="1">
      <c r="A279" s="118"/>
      <c r="B279" s="94"/>
      <c r="C279" s="93"/>
      <c r="D279" s="69">
        <v>-1</v>
      </c>
      <c r="E279" s="68">
        <v>0.5</v>
      </c>
      <c r="F279" s="68"/>
      <c r="G279" s="68">
        <f>G276-G277</f>
        <v>1.1000000000000001</v>
      </c>
      <c r="H279" s="68">
        <f>((PI()/4)*(E279*E279))*(G279)*D279</f>
        <v>-0.2159844949342983</v>
      </c>
      <c r="I279" s="68"/>
      <c r="J279" s="114"/>
      <c r="K279" s="117"/>
      <c r="M279" s="134"/>
      <c r="N279" s="134"/>
      <c r="O279" s="133"/>
    </row>
    <row r="280" spans="1:15" ht="12.75" customHeight="1">
      <c r="A280" s="118"/>
      <c r="B280" s="119" t="s">
        <v>290</v>
      </c>
      <c r="C280" s="93"/>
      <c r="D280" s="69"/>
      <c r="E280" s="68"/>
      <c r="F280" s="68"/>
      <c r="G280" s="68"/>
      <c r="H280" s="68"/>
      <c r="I280" s="68"/>
      <c r="J280" s="114"/>
      <c r="K280" s="117"/>
      <c r="M280" s="134"/>
      <c r="N280" s="134"/>
      <c r="O280" s="133"/>
    </row>
    <row r="281" spans="1:15" ht="12.75" customHeight="1">
      <c r="A281" s="118"/>
      <c r="B281" s="94" t="s">
        <v>294</v>
      </c>
      <c r="C281" s="93"/>
      <c r="D281" s="69">
        <v>1</v>
      </c>
      <c r="E281" s="68">
        <v>1.2</v>
      </c>
      <c r="F281" s="68">
        <v>1.2</v>
      </c>
      <c r="G281" s="68">
        <f>2.1+0.3</f>
        <v>2.4</v>
      </c>
      <c r="H281" s="68">
        <f t="shared" ref="H281:H371" si="35">((PI()/4)*(E281*E281))*(G281)*D281</f>
        <v>2.7143360527015812</v>
      </c>
      <c r="I281" s="68"/>
      <c r="J281" s="114"/>
      <c r="K281" s="117"/>
      <c r="M281" s="134"/>
      <c r="N281" s="134"/>
      <c r="O281" s="133"/>
    </row>
    <row r="282" spans="1:15" ht="12.75" customHeight="1">
      <c r="A282" s="118"/>
      <c r="B282" s="94" t="s">
        <v>295</v>
      </c>
      <c r="C282" s="93"/>
      <c r="D282" s="69">
        <v>-1</v>
      </c>
      <c r="E282" s="68">
        <v>1.1000000000000001</v>
      </c>
      <c r="F282" s="68">
        <v>1.1000000000000001</v>
      </c>
      <c r="G282" s="68">
        <v>0.3</v>
      </c>
      <c r="H282" s="68">
        <f t="shared" si="35"/>
        <v>-0.28509953331327376</v>
      </c>
      <c r="I282" s="68"/>
      <c r="J282" s="114"/>
      <c r="K282" s="117"/>
      <c r="M282" s="134"/>
      <c r="N282" s="134"/>
      <c r="O282" s="133"/>
    </row>
    <row r="283" spans="1:15" ht="12.75" customHeight="1">
      <c r="A283" s="118"/>
      <c r="B283" s="94" t="s">
        <v>296</v>
      </c>
      <c r="C283" s="93"/>
      <c r="D283" s="69">
        <v>1</v>
      </c>
      <c r="E283" s="68">
        <v>2.1</v>
      </c>
      <c r="F283" s="68">
        <v>2.1</v>
      </c>
      <c r="G283" s="68">
        <f>1.9+0.3</f>
        <v>2.1999999999999997</v>
      </c>
      <c r="H283" s="68">
        <f t="shared" si="35"/>
        <v>7.6199329812820418</v>
      </c>
      <c r="I283" s="68"/>
      <c r="J283" s="114"/>
      <c r="K283" s="117"/>
      <c r="M283" s="134"/>
      <c r="N283" s="134"/>
      <c r="O283" s="133"/>
    </row>
    <row r="284" spans="1:15" ht="12.75" customHeight="1">
      <c r="A284" s="118"/>
      <c r="B284" s="94" t="s">
        <v>297</v>
      </c>
      <c r="C284" s="93"/>
      <c r="D284" s="69">
        <v>-1</v>
      </c>
      <c r="E284" s="68">
        <v>2</v>
      </c>
      <c r="F284" s="68">
        <v>2</v>
      </c>
      <c r="G284" s="68">
        <v>0.3</v>
      </c>
      <c r="H284" s="68">
        <f t="shared" si="35"/>
        <v>-0.94247779607693793</v>
      </c>
      <c r="I284" s="68"/>
      <c r="J284" s="114"/>
      <c r="K284" s="117"/>
      <c r="M284" s="134"/>
      <c r="N284" s="134"/>
      <c r="O284" s="133"/>
    </row>
    <row r="285" spans="1:15" ht="12.75" customHeight="1">
      <c r="A285" s="118"/>
      <c r="B285" s="94" t="s">
        <v>298</v>
      </c>
      <c r="C285" s="93"/>
      <c r="D285" s="69">
        <v>1</v>
      </c>
      <c r="E285" s="68">
        <v>2.1</v>
      </c>
      <c r="F285" s="68">
        <v>2.1</v>
      </c>
      <c r="G285" s="68">
        <f>1.4+0.3</f>
        <v>1.7</v>
      </c>
      <c r="H285" s="68">
        <f t="shared" si="35"/>
        <v>5.8881300309906699</v>
      </c>
      <c r="I285" s="68"/>
      <c r="J285" s="114"/>
      <c r="K285" s="117"/>
      <c r="M285" s="134"/>
      <c r="N285" s="134"/>
      <c r="O285" s="133"/>
    </row>
    <row r="286" spans="1:15" ht="12.75" customHeight="1">
      <c r="A286" s="118"/>
      <c r="B286" s="94" t="s">
        <v>299</v>
      </c>
      <c r="C286" s="93"/>
      <c r="D286" s="69">
        <v>-1</v>
      </c>
      <c r="E286" s="68">
        <v>2</v>
      </c>
      <c r="F286" s="68">
        <v>2</v>
      </c>
      <c r="G286" s="68">
        <v>0.3</v>
      </c>
      <c r="H286" s="68">
        <f t="shared" si="35"/>
        <v>-0.94247779607693793</v>
      </c>
      <c r="I286" s="68"/>
      <c r="J286" s="114"/>
      <c r="K286" s="117"/>
      <c r="M286" s="134"/>
      <c r="N286" s="134"/>
      <c r="O286" s="133"/>
    </row>
    <row r="287" spans="1:15" ht="12.75" customHeight="1">
      <c r="A287" s="118"/>
      <c r="B287" s="94" t="s">
        <v>300</v>
      </c>
      <c r="C287" s="93"/>
      <c r="D287" s="69">
        <v>1</v>
      </c>
      <c r="E287" s="68">
        <v>1.8</v>
      </c>
      <c r="F287" s="68">
        <v>1.8</v>
      </c>
      <c r="G287" s="68">
        <f>2.3+0.3</f>
        <v>2.5999999999999996</v>
      </c>
      <c r="H287" s="68">
        <f t="shared" si="35"/>
        <v>6.616194128460104</v>
      </c>
      <c r="I287" s="68"/>
      <c r="J287" s="114"/>
      <c r="K287" s="117"/>
      <c r="M287" s="134"/>
      <c r="N287" s="134"/>
      <c r="O287" s="133"/>
    </row>
    <row r="288" spans="1:15" ht="12.75" customHeight="1">
      <c r="A288" s="118"/>
      <c r="B288" s="94" t="s">
        <v>301</v>
      </c>
      <c r="C288" s="93"/>
      <c r="D288" s="69">
        <v>-1</v>
      </c>
      <c r="E288" s="68">
        <v>1.7</v>
      </c>
      <c r="F288" s="68">
        <v>1.7</v>
      </c>
      <c r="G288" s="68">
        <v>0.3</v>
      </c>
      <c r="H288" s="68">
        <f t="shared" si="35"/>
        <v>-0.68094020766558749</v>
      </c>
      <c r="I288" s="68"/>
      <c r="J288" s="114"/>
      <c r="K288" s="117"/>
      <c r="M288" s="134"/>
      <c r="N288" s="134"/>
      <c r="O288" s="133"/>
    </row>
    <row r="289" spans="1:15" ht="12.75" customHeight="1">
      <c r="A289" s="118"/>
      <c r="B289" s="94" t="s">
        <v>302</v>
      </c>
      <c r="C289" s="93"/>
      <c r="D289" s="69">
        <v>1</v>
      </c>
      <c r="E289" s="68">
        <v>1.8</v>
      </c>
      <c r="F289" s="68">
        <v>1.8</v>
      </c>
      <c r="G289" s="68">
        <f>1+0.3</f>
        <v>1.3</v>
      </c>
      <c r="H289" s="68">
        <f t="shared" si="35"/>
        <v>3.3080970642300525</v>
      </c>
      <c r="I289" s="68"/>
      <c r="J289" s="114"/>
      <c r="K289" s="117"/>
      <c r="M289" s="134"/>
      <c r="N289" s="134"/>
      <c r="O289" s="133"/>
    </row>
    <row r="290" spans="1:15" ht="12.75" customHeight="1">
      <c r="A290" s="118"/>
      <c r="B290" s="94" t="s">
        <v>303</v>
      </c>
      <c r="C290" s="93"/>
      <c r="D290" s="69">
        <v>-1</v>
      </c>
      <c r="E290" s="68">
        <v>1.7</v>
      </c>
      <c r="F290" s="68">
        <v>1.7</v>
      </c>
      <c r="G290" s="68">
        <v>0.3</v>
      </c>
      <c r="H290" s="68">
        <f t="shared" si="35"/>
        <v>-0.68094020766558749</v>
      </c>
      <c r="I290" s="68"/>
      <c r="J290" s="114"/>
      <c r="K290" s="117"/>
      <c r="M290" s="134"/>
      <c r="N290" s="134"/>
      <c r="O290" s="133"/>
    </row>
    <row r="291" spans="1:15" ht="12.75" customHeight="1">
      <c r="A291" s="118"/>
      <c r="B291" s="94" t="s">
        <v>304</v>
      </c>
      <c r="C291" s="93"/>
      <c r="D291" s="69">
        <v>1</v>
      </c>
      <c r="E291" s="68">
        <v>1.3</v>
      </c>
      <c r="F291" s="68">
        <v>1.3</v>
      </c>
      <c r="G291" s="68">
        <f>2.3+0.3</f>
        <v>2.5999999999999996</v>
      </c>
      <c r="H291" s="68">
        <f t="shared" si="35"/>
        <v>3.4510395299683876</v>
      </c>
      <c r="I291" s="68"/>
      <c r="J291" s="114"/>
      <c r="K291" s="117"/>
      <c r="M291" s="134"/>
      <c r="N291" s="134"/>
      <c r="O291" s="133"/>
    </row>
    <row r="292" spans="1:15" ht="12.75" customHeight="1">
      <c r="A292" s="118"/>
      <c r="B292" s="94" t="s">
        <v>305</v>
      </c>
      <c r="C292" s="93"/>
      <c r="D292" s="69">
        <v>-1</v>
      </c>
      <c r="E292" s="68">
        <v>1.2</v>
      </c>
      <c r="F292" s="68">
        <v>1.2</v>
      </c>
      <c r="G292" s="68">
        <v>0.3</v>
      </c>
      <c r="H292" s="68">
        <f t="shared" si="35"/>
        <v>-0.33929200658769765</v>
      </c>
      <c r="I292" s="68"/>
      <c r="J292" s="114"/>
      <c r="K292" s="117"/>
      <c r="M292" s="134"/>
      <c r="N292" s="134"/>
      <c r="O292" s="133"/>
    </row>
    <row r="293" spans="1:15" ht="12.75" customHeight="1" thickBot="1">
      <c r="A293" s="143"/>
      <c r="B293" s="147" t="s">
        <v>306</v>
      </c>
      <c r="C293" s="144"/>
      <c r="D293" s="95">
        <v>1</v>
      </c>
      <c r="E293" s="92">
        <v>1.9</v>
      </c>
      <c r="F293" s="92">
        <v>1.9</v>
      </c>
      <c r="G293" s="92">
        <f>2.3+0.3</f>
        <v>2.5999999999999996</v>
      </c>
      <c r="H293" s="92">
        <f t="shared" si="35"/>
        <v>7.3717471616484485</v>
      </c>
      <c r="I293" s="92"/>
      <c r="J293" s="145"/>
      <c r="K293" s="146"/>
      <c r="M293" s="134"/>
      <c r="N293" s="134"/>
      <c r="O293" s="133"/>
    </row>
    <row r="294" spans="1:15" ht="12.75" customHeight="1" thickTop="1">
      <c r="A294" s="91"/>
      <c r="B294" s="90"/>
      <c r="C294" s="90"/>
      <c r="D294" s="90"/>
      <c r="E294" s="90"/>
      <c r="F294" s="90"/>
      <c r="G294" s="90"/>
      <c r="H294" s="90"/>
      <c r="I294" s="90"/>
      <c r="J294" s="90"/>
      <c r="K294" s="89"/>
      <c r="M294" s="134"/>
      <c r="N294" s="134"/>
      <c r="O294" s="133"/>
    </row>
    <row r="295" spans="1:15" ht="18.75" customHeight="1">
      <c r="A295" s="569" t="s">
        <v>29</v>
      </c>
      <c r="B295" s="570"/>
      <c r="C295" s="570"/>
      <c r="D295" s="570"/>
      <c r="E295" s="570"/>
      <c r="F295" s="570"/>
      <c r="G295" s="570"/>
      <c r="H295" s="570"/>
      <c r="I295" s="570"/>
      <c r="J295" s="570"/>
      <c r="K295" s="571"/>
      <c r="M295" s="134"/>
      <c r="N295" s="134"/>
      <c r="O295" s="133"/>
    </row>
    <row r="296" spans="1:15" ht="16.5" customHeight="1">
      <c r="A296" s="572" t="s">
        <v>69</v>
      </c>
      <c r="B296" s="573"/>
      <c r="C296" s="573"/>
      <c r="D296" s="573"/>
      <c r="E296" s="573"/>
      <c r="F296" s="573"/>
      <c r="G296" s="573"/>
      <c r="H296" s="573"/>
      <c r="I296" s="573"/>
      <c r="J296" s="573"/>
      <c r="K296" s="574"/>
      <c r="M296" s="134"/>
      <c r="N296" s="134"/>
      <c r="O296" s="133"/>
    </row>
    <row r="297" spans="1:15" ht="12.75" customHeight="1">
      <c r="A297" s="88"/>
      <c r="B297" s="85"/>
      <c r="C297" s="85"/>
      <c r="D297" s="85"/>
      <c r="E297" s="85"/>
      <c r="F297" s="85"/>
      <c r="G297" s="85"/>
      <c r="H297" s="85"/>
      <c r="I297" s="85"/>
      <c r="J297" s="85"/>
      <c r="K297" s="87"/>
      <c r="M297" s="134"/>
      <c r="N297" s="134"/>
      <c r="O297" s="133"/>
    </row>
    <row r="298" spans="1:15" ht="12.75" customHeight="1">
      <c r="A298" s="55"/>
      <c r="B298" s="86"/>
      <c r="C298" s="86"/>
      <c r="D298" s="86"/>
      <c r="E298" s="86"/>
      <c r="F298" s="86"/>
      <c r="G298" s="86"/>
      <c r="H298" s="86"/>
      <c r="I298" s="86"/>
      <c r="J298" s="86"/>
      <c r="K298" s="81"/>
      <c r="M298" s="134"/>
      <c r="N298" s="134"/>
      <c r="O298" s="133"/>
    </row>
    <row r="299" spans="1:15" ht="12.75" customHeight="1">
      <c r="A299" s="575" t="s">
        <v>68</v>
      </c>
      <c r="B299" s="576"/>
      <c r="C299" s="576"/>
      <c r="D299" s="576"/>
      <c r="E299" s="576"/>
      <c r="F299" s="576"/>
      <c r="G299" s="576"/>
      <c r="H299" s="576"/>
      <c r="I299" s="576"/>
      <c r="J299" s="576"/>
      <c r="K299" s="577"/>
      <c r="M299" s="134"/>
      <c r="N299" s="134"/>
      <c r="O299" s="133"/>
    </row>
    <row r="300" spans="1:15" ht="7.5" customHeight="1">
      <c r="A300" s="55"/>
      <c r="B300" s="86"/>
      <c r="C300" s="86"/>
      <c r="D300" s="86"/>
      <c r="E300" s="86"/>
      <c r="F300" s="86"/>
      <c r="G300" s="86"/>
      <c r="H300" s="86"/>
      <c r="I300" s="86"/>
      <c r="J300" s="85"/>
      <c r="K300" s="81"/>
      <c r="M300" s="134"/>
      <c r="N300" s="134"/>
      <c r="O300" s="133"/>
    </row>
    <row r="301" spans="1:15" ht="12.75" customHeight="1">
      <c r="A301" s="84"/>
      <c r="B301" s="83" t="s">
        <v>11</v>
      </c>
      <c r="C301" s="578" t="s">
        <v>361</v>
      </c>
      <c r="D301" s="579"/>
      <c r="E301" s="579"/>
      <c r="F301" s="579"/>
      <c r="G301" s="579"/>
      <c r="H301" s="579"/>
      <c r="I301" s="579"/>
      <c r="J301" s="580"/>
      <c r="K301" s="81"/>
      <c r="M301" s="134"/>
      <c r="N301" s="134"/>
      <c r="O301" s="133"/>
    </row>
    <row r="302" spans="1:15" ht="8.25" customHeight="1">
      <c r="A302" s="80"/>
      <c r="K302" s="81"/>
      <c r="M302" s="134"/>
      <c r="N302" s="134"/>
      <c r="O302" s="133"/>
    </row>
    <row r="303" spans="1:15" ht="12.75" customHeight="1">
      <c r="A303" s="80"/>
      <c r="B303" s="82" t="s">
        <v>67</v>
      </c>
      <c r="C303" s="581" t="s">
        <v>66</v>
      </c>
      <c r="D303" s="582"/>
      <c r="E303" s="582"/>
      <c r="F303" s="582"/>
      <c r="G303" s="582"/>
      <c r="H303" s="582"/>
      <c r="I303" s="582"/>
      <c r="J303" s="583"/>
      <c r="K303" s="81"/>
      <c r="M303" s="134"/>
      <c r="N303" s="134"/>
      <c r="O303" s="133"/>
    </row>
    <row r="304" spans="1:15" ht="7.5" customHeight="1">
      <c r="A304" s="80"/>
      <c r="B304" s="79"/>
      <c r="D304" s="78"/>
      <c r="E304" s="78"/>
      <c r="F304" s="78"/>
      <c r="G304" s="78"/>
      <c r="H304" s="78"/>
      <c r="I304" s="78"/>
      <c r="K304" s="77"/>
      <c r="M304" s="134"/>
      <c r="N304" s="134"/>
      <c r="O304" s="133"/>
    </row>
    <row r="305" spans="1:15" ht="12.75" customHeight="1">
      <c r="A305" s="584" t="s">
        <v>84</v>
      </c>
      <c r="B305" s="585" t="s">
        <v>83</v>
      </c>
      <c r="C305" s="585" t="s">
        <v>82</v>
      </c>
      <c r="D305" s="585" t="s">
        <v>81</v>
      </c>
      <c r="E305" s="564" t="s">
        <v>80</v>
      </c>
      <c r="F305" s="564"/>
      <c r="G305" s="564"/>
      <c r="H305" s="564" t="s">
        <v>79</v>
      </c>
      <c r="I305" s="564"/>
      <c r="J305" s="564"/>
      <c r="K305" s="565" t="s">
        <v>58</v>
      </c>
      <c r="M305" s="134"/>
      <c r="N305" s="134"/>
      <c r="O305" s="133"/>
    </row>
    <row r="306" spans="1:15" ht="12.75" customHeight="1">
      <c r="A306" s="584"/>
      <c r="B306" s="585"/>
      <c r="C306" s="585"/>
      <c r="D306" s="585"/>
      <c r="E306" s="125" t="s">
        <v>78</v>
      </c>
      <c r="F306" s="125" t="s">
        <v>77</v>
      </c>
      <c r="G306" s="125" t="s">
        <v>76</v>
      </c>
      <c r="H306" s="125" t="s">
        <v>75</v>
      </c>
      <c r="I306" s="125" t="s">
        <v>74</v>
      </c>
      <c r="J306" s="125" t="s">
        <v>73</v>
      </c>
      <c r="K306" s="565"/>
      <c r="M306" s="134"/>
      <c r="N306" s="134"/>
      <c r="O306" s="133"/>
    </row>
    <row r="307" spans="1:15" ht="12.75" customHeight="1">
      <c r="A307" s="584"/>
      <c r="B307" s="585"/>
      <c r="C307" s="585"/>
      <c r="D307" s="585"/>
      <c r="E307" s="125" t="s">
        <v>70</v>
      </c>
      <c r="F307" s="125" t="s">
        <v>70</v>
      </c>
      <c r="G307" s="125" t="s">
        <v>70</v>
      </c>
      <c r="H307" s="125" t="s">
        <v>72</v>
      </c>
      <c r="I307" s="125" t="s">
        <v>71</v>
      </c>
      <c r="J307" s="125" t="s">
        <v>70</v>
      </c>
      <c r="K307" s="565"/>
      <c r="M307" s="134"/>
      <c r="N307" s="134"/>
      <c r="O307" s="133"/>
    </row>
    <row r="308" spans="1:15" ht="12.75" customHeight="1">
      <c r="A308" s="66">
        <v>7</v>
      </c>
      <c r="B308" s="65" t="s">
        <v>119</v>
      </c>
      <c r="C308" s="64" t="s">
        <v>48</v>
      </c>
      <c r="D308" s="76"/>
      <c r="E308" s="75"/>
      <c r="F308" s="75"/>
      <c r="G308" s="75"/>
      <c r="H308" s="75"/>
      <c r="I308" s="75"/>
      <c r="J308" s="74"/>
      <c r="K308" s="63"/>
      <c r="M308" s="134"/>
      <c r="N308" s="134"/>
      <c r="O308" s="133"/>
    </row>
    <row r="309" spans="1:15" ht="12.75" customHeight="1">
      <c r="A309" s="118"/>
      <c r="B309" s="94" t="s">
        <v>307</v>
      </c>
      <c r="C309" s="93"/>
      <c r="D309" s="69">
        <v>-1</v>
      </c>
      <c r="E309" s="68">
        <v>1.8</v>
      </c>
      <c r="F309" s="68">
        <v>1.8</v>
      </c>
      <c r="G309" s="68">
        <v>0.3</v>
      </c>
      <c r="H309" s="68">
        <f t="shared" si="35"/>
        <v>-0.76340701482231976</v>
      </c>
      <c r="I309" s="68"/>
      <c r="J309" s="114"/>
      <c r="K309" s="117"/>
      <c r="M309" s="134"/>
      <c r="N309" s="134"/>
      <c r="O309" s="133"/>
    </row>
    <row r="310" spans="1:15" ht="12.75" customHeight="1">
      <c r="A310" s="118"/>
      <c r="B310" s="94" t="s">
        <v>308</v>
      </c>
      <c r="C310" s="93"/>
      <c r="D310" s="69">
        <v>1</v>
      </c>
      <c r="E310" s="68">
        <v>2.6</v>
      </c>
      <c r="F310" s="68">
        <v>2.6</v>
      </c>
      <c r="G310" s="68">
        <f>2.3+0.3</f>
        <v>2.5999999999999996</v>
      </c>
      <c r="H310" s="68">
        <f t="shared" si="35"/>
        <v>13.80415811987355</v>
      </c>
      <c r="I310" s="68"/>
      <c r="J310" s="114"/>
      <c r="K310" s="117"/>
      <c r="M310" s="134"/>
      <c r="N310" s="134"/>
      <c r="O310" s="133"/>
    </row>
    <row r="311" spans="1:15" ht="12.75" customHeight="1">
      <c r="A311" s="116"/>
      <c r="B311" s="161" t="s">
        <v>309</v>
      </c>
      <c r="C311" s="162"/>
      <c r="D311" s="163">
        <v>-1</v>
      </c>
      <c r="E311" s="67">
        <v>2.5</v>
      </c>
      <c r="F311" s="67">
        <v>2.5</v>
      </c>
      <c r="G311" s="67">
        <v>0.3</v>
      </c>
      <c r="H311" s="67">
        <f t="shared" si="35"/>
        <v>-1.4726215563702156</v>
      </c>
      <c r="I311" s="67"/>
      <c r="J311" s="128"/>
      <c r="K311" s="164"/>
      <c r="M311" s="134"/>
      <c r="N311" s="134"/>
      <c r="O311" s="133"/>
    </row>
    <row r="312" spans="1:15" ht="12.75" customHeight="1">
      <c r="A312" s="118"/>
      <c r="B312" s="94" t="s">
        <v>310</v>
      </c>
      <c r="C312" s="93"/>
      <c r="D312" s="69">
        <v>1</v>
      </c>
      <c r="E312" s="68">
        <v>1.8</v>
      </c>
      <c r="F312" s="68">
        <v>1.8</v>
      </c>
      <c r="G312" s="68">
        <f>1.6+0.3</f>
        <v>1.9000000000000001</v>
      </c>
      <c r="H312" s="68">
        <f t="shared" si="35"/>
        <v>4.8349110938746929</v>
      </c>
      <c r="I312" s="68"/>
      <c r="J312" s="114"/>
      <c r="K312" s="117"/>
      <c r="M312" s="134"/>
      <c r="N312" s="134"/>
      <c r="O312" s="133"/>
    </row>
    <row r="313" spans="1:15" ht="12.75" customHeight="1">
      <c r="A313" s="118"/>
      <c r="B313" s="94" t="s">
        <v>311</v>
      </c>
      <c r="C313" s="93"/>
      <c r="D313" s="69">
        <v>-1</v>
      </c>
      <c r="E313" s="68">
        <v>1.7</v>
      </c>
      <c r="F313" s="68">
        <v>1.7</v>
      </c>
      <c r="G313" s="68">
        <v>0.3</v>
      </c>
      <c r="H313" s="68">
        <f t="shared" si="35"/>
        <v>-0.68094020766558749</v>
      </c>
      <c r="I313" s="68"/>
      <c r="J313" s="114"/>
      <c r="K313" s="117"/>
      <c r="M313" s="134"/>
      <c r="N313" s="134"/>
      <c r="O313" s="133"/>
    </row>
    <row r="314" spans="1:15" ht="12.75" customHeight="1">
      <c r="A314" s="118"/>
      <c r="B314" s="94" t="s">
        <v>312</v>
      </c>
      <c r="C314" s="93"/>
      <c r="D314" s="69">
        <v>1</v>
      </c>
      <c r="E314" s="68">
        <v>1.7</v>
      </c>
      <c r="F314" s="68">
        <v>1.7</v>
      </c>
      <c r="G314" s="68">
        <f>1.2+0.3</f>
        <v>1.5</v>
      </c>
      <c r="H314" s="68">
        <f t="shared" si="35"/>
        <v>3.4047010383279375</v>
      </c>
      <c r="I314" s="68"/>
      <c r="J314" s="114"/>
      <c r="K314" s="117"/>
      <c r="M314" s="134"/>
      <c r="N314" s="134"/>
      <c r="O314" s="133"/>
    </row>
    <row r="315" spans="1:15" ht="12.75" customHeight="1">
      <c r="A315" s="115"/>
      <c r="B315" s="111" t="s">
        <v>313</v>
      </c>
      <c r="C315" s="140"/>
      <c r="D315" s="71">
        <v>-1</v>
      </c>
      <c r="E315" s="70">
        <v>1.6</v>
      </c>
      <c r="F315" s="70">
        <v>1.6</v>
      </c>
      <c r="G315" s="70">
        <v>0.3</v>
      </c>
      <c r="H315" s="70">
        <f t="shared" si="35"/>
        <v>-0.60318578948924029</v>
      </c>
      <c r="I315" s="70"/>
      <c r="J315" s="141"/>
      <c r="K315" s="113"/>
      <c r="M315" s="134"/>
      <c r="N315" s="134"/>
      <c r="O315" s="133"/>
    </row>
    <row r="316" spans="1:15" ht="12.75" customHeight="1">
      <c r="A316" s="108"/>
      <c r="B316" s="112" t="s">
        <v>314</v>
      </c>
      <c r="C316" s="104"/>
      <c r="D316" s="73">
        <v>1</v>
      </c>
      <c r="E316" s="72">
        <v>1.5</v>
      </c>
      <c r="F316" s="72">
        <v>1.5</v>
      </c>
      <c r="G316" s="72">
        <f>2.1+0.3</f>
        <v>2.4</v>
      </c>
      <c r="H316" s="72">
        <f t="shared" si="35"/>
        <v>4.2411500823462207</v>
      </c>
      <c r="I316" s="72"/>
      <c r="J316" s="124"/>
      <c r="K316" s="107"/>
      <c r="M316" s="134"/>
      <c r="N316" s="134"/>
      <c r="O316" s="133"/>
    </row>
    <row r="317" spans="1:15" ht="12.75" customHeight="1">
      <c r="A317" s="118"/>
      <c r="B317" s="94" t="s">
        <v>315</v>
      </c>
      <c r="C317" s="93"/>
      <c r="D317" s="69">
        <v>-1</v>
      </c>
      <c r="E317" s="68">
        <v>1.4</v>
      </c>
      <c r="F317" s="68">
        <v>1.4</v>
      </c>
      <c r="G317" s="68">
        <v>0.3</v>
      </c>
      <c r="H317" s="68">
        <f t="shared" si="35"/>
        <v>-0.46181412007769951</v>
      </c>
      <c r="I317" s="68"/>
      <c r="J317" s="114"/>
      <c r="K317" s="117"/>
      <c r="M317" s="134"/>
      <c r="N317" s="134"/>
      <c r="O317" s="133"/>
    </row>
    <row r="318" spans="1:15" ht="12.75" customHeight="1">
      <c r="A318" s="118"/>
      <c r="B318" s="94" t="s">
        <v>317</v>
      </c>
      <c r="C318" s="93"/>
      <c r="D318" s="69">
        <v>1</v>
      </c>
      <c r="E318" s="68">
        <v>1.5</v>
      </c>
      <c r="F318" s="68">
        <v>1.5</v>
      </c>
      <c r="G318" s="68">
        <f>1.4+0.3</f>
        <v>1.7</v>
      </c>
      <c r="H318" s="68">
        <f t="shared" si="35"/>
        <v>3.0041479749952398</v>
      </c>
      <c r="I318" s="68"/>
      <c r="J318" s="114"/>
      <c r="K318" s="117"/>
      <c r="M318" s="134"/>
      <c r="N318" s="134"/>
      <c r="O318" s="133"/>
    </row>
    <row r="319" spans="1:15" ht="12.75" customHeight="1">
      <c r="A319" s="118"/>
      <c r="B319" s="94" t="s">
        <v>316</v>
      </c>
      <c r="C319" s="93"/>
      <c r="D319" s="69">
        <v>-1</v>
      </c>
      <c r="E319" s="68">
        <v>1.4</v>
      </c>
      <c r="F319" s="68">
        <v>1.4</v>
      </c>
      <c r="G319" s="68">
        <v>0.3</v>
      </c>
      <c r="H319" s="68">
        <f t="shared" si="35"/>
        <v>-0.46181412007769951</v>
      </c>
      <c r="I319" s="68"/>
      <c r="J319" s="114"/>
      <c r="K319" s="117"/>
      <c r="M319" s="134"/>
      <c r="N319" s="134"/>
      <c r="O319" s="133"/>
    </row>
    <row r="320" spans="1:15" ht="12.75" customHeight="1">
      <c r="A320" s="118"/>
      <c r="B320" s="94" t="s">
        <v>318</v>
      </c>
      <c r="C320" s="93"/>
      <c r="D320" s="69">
        <v>1</v>
      </c>
      <c r="E320" s="68">
        <v>1.75</v>
      </c>
      <c r="F320" s="68">
        <v>1.75</v>
      </c>
      <c r="G320" s="68">
        <f>2.1+0.3</f>
        <v>2.4</v>
      </c>
      <c r="H320" s="68">
        <f t="shared" si="35"/>
        <v>5.7726765009712446</v>
      </c>
      <c r="I320" s="68"/>
      <c r="J320" s="114"/>
      <c r="K320" s="117"/>
      <c r="M320" s="134"/>
      <c r="N320" s="134"/>
      <c r="O320" s="133"/>
    </row>
    <row r="321" spans="1:15" ht="12.75" customHeight="1">
      <c r="A321" s="118"/>
      <c r="B321" s="94" t="s">
        <v>319</v>
      </c>
      <c r="C321" s="93"/>
      <c r="D321" s="69">
        <v>-1</v>
      </c>
      <c r="E321" s="68">
        <v>1.65</v>
      </c>
      <c r="F321" s="68">
        <v>1.65</v>
      </c>
      <c r="G321" s="68">
        <v>0.3</v>
      </c>
      <c r="H321" s="68">
        <f t="shared" si="35"/>
        <v>-0.64147394995486573</v>
      </c>
      <c r="I321" s="68"/>
      <c r="J321" s="114"/>
      <c r="K321" s="117"/>
      <c r="M321" s="134"/>
      <c r="N321" s="134"/>
      <c r="O321" s="133"/>
    </row>
    <row r="322" spans="1:15" ht="12.75" customHeight="1">
      <c r="A322" s="118"/>
      <c r="B322" s="94" t="s">
        <v>320</v>
      </c>
      <c r="C322" s="93"/>
      <c r="D322" s="69">
        <v>1</v>
      </c>
      <c r="E322" s="68">
        <v>1.75</v>
      </c>
      <c r="F322" s="68">
        <v>1.75</v>
      </c>
      <c r="G322" s="68">
        <f>1.1+0.3</f>
        <v>1.4000000000000001</v>
      </c>
      <c r="H322" s="68">
        <f t="shared" si="35"/>
        <v>3.3673946255665594</v>
      </c>
      <c r="I322" s="68"/>
      <c r="J322" s="114"/>
      <c r="K322" s="117"/>
      <c r="M322" s="134"/>
      <c r="N322" s="134"/>
      <c r="O322" s="133"/>
    </row>
    <row r="323" spans="1:15" ht="12.75" customHeight="1">
      <c r="A323" s="118"/>
      <c r="B323" s="94" t="s">
        <v>321</v>
      </c>
      <c r="C323" s="93"/>
      <c r="D323" s="69">
        <v>-1</v>
      </c>
      <c r="E323" s="68">
        <v>1.65</v>
      </c>
      <c r="F323" s="68">
        <v>1.65</v>
      </c>
      <c r="G323" s="68">
        <v>0.3</v>
      </c>
      <c r="H323" s="68">
        <f t="shared" si="35"/>
        <v>-0.64147394995486573</v>
      </c>
      <c r="I323" s="68"/>
      <c r="J323" s="114"/>
      <c r="K323" s="117"/>
      <c r="M323" s="134"/>
      <c r="N323" s="134"/>
      <c r="O323" s="133"/>
    </row>
    <row r="324" spans="1:15" ht="12.75" customHeight="1">
      <c r="A324" s="118"/>
      <c r="B324" s="94" t="s">
        <v>322</v>
      </c>
      <c r="C324" s="93"/>
      <c r="D324" s="69">
        <v>1</v>
      </c>
      <c r="E324" s="68">
        <v>2</v>
      </c>
      <c r="F324" s="68">
        <v>2</v>
      </c>
      <c r="G324" s="68">
        <f>1.8+0.3</f>
        <v>2.1</v>
      </c>
      <c r="H324" s="68">
        <f t="shared" si="35"/>
        <v>6.5973445725385655</v>
      </c>
      <c r="I324" s="68"/>
      <c r="J324" s="114"/>
      <c r="K324" s="117"/>
      <c r="M324" s="134"/>
      <c r="N324" s="134"/>
      <c r="O324" s="133"/>
    </row>
    <row r="325" spans="1:15" ht="12.75" customHeight="1">
      <c r="A325" s="118"/>
      <c r="B325" s="94" t="s">
        <v>323</v>
      </c>
      <c r="C325" s="93"/>
      <c r="D325" s="69">
        <v>-1</v>
      </c>
      <c r="E325" s="68">
        <v>1.9</v>
      </c>
      <c r="F325" s="68">
        <v>1.9</v>
      </c>
      <c r="G325" s="68">
        <v>0.3</v>
      </c>
      <c r="H325" s="68">
        <f t="shared" si="35"/>
        <v>-0.85058621095943643</v>
      </c>
      <c r="I325" s="68"/>
      <c r="J325" s="114"/>
      <c r="K325" s="117"/>
      <c r="M325" s="134"/>
      <c r="N325" s="134"/>
      <c r="O325" s="133"/>
    </row>
    <row r="326" spans="1:15" ht="12.75" customHeight="1">
      <c r="A326" s="118"/>
      <c r="B326" s="94" t="s">
        <v>324</v>
      </c>
      <c r="C326" s="93"/>
      <c r="D326" s="69">
        <v>1</v>
      </c>
      <c r="E326" s="68">
        <v>2</v>
      </c>
      <c r="F326" s="68">
        <v>2</v>
      </c>
      <c r="G326" s="68">
        <f>1.5+0.3</f>
        <v>1.8</v>
      </c>
      <c r="H326" s="68">
        <f t="shared" si="35"/>
        <v>5.6548667764616276</v>
      </c>
      <c r="I326" s="68"/>
      <c r="J326" s="114"/>
      <c r="K326" s="117"/>
      <c r="M326" s="134"/>
      <c r="N326" s="134"/>
      <c r="O326" s="133"/>
    </row>
    <row r="327" spans="1:15" ht="12.75" customHeight="1">
      <c r="A327" s="118"/>
      <c r="B327" s="94" t="s">
        <v>325</v>
      </c>
      <c r="C327" s="93"/>
      <c r="D327" s="69">
        <v>-1</v>
      </c>
      <c r="E327" s="68">
        <v>1.9</v>
      </c>
      <c r="F327" s="68">
        <v>1.9</v>
      </c>
      <c r="G327" s="68">
        <v>0.3</v>
      </c>
      <c r="H327" s="68">
        <f t="shared" si="35"/>
        <v>-0.85058621095943643</v>
      </c>
      <c r="I327" s="68"/>
      <c r="J327" s="114"/>
      <c r="K327" s="117"/>
      <c r="M327" s="134"/>
      <c r="N327" s="134"/>
      <c r="O327" s="133"/>
    </row>
    <row r="328" spans="1:15" ht="12.75" customHeight="1">
      <c r="A328" s="118"/>
      <c r="B328" s="94" t="s">
        <v>326</v>
      </c>
      <c r="C328" s="93"/>
      <c r="D328" s="69">
        <v>1</v>
      </c>
      <c r="E328" s="68">
        <v>1.8</v>
      </c>
      <c r="F328" s="68">
        <v>1.8</v>
      </c>
      <c r="G328" s="68">
        <f>2.1+0.3</f>
        <v>2.4</v>
      </c>
      <c r="H328" s="68">
        <f t="shared" si="35"/>
        <v>6.1072561185785581</v>
      </c>
      <c r="I328" s="68"/>
      <c r="J328" s="114"/>
      <c r="K328" s="117"/>
      <c r="M328" s="134"/>
      <c r="N328" s="134"/>
      <c r="O328" s="133"/>
    </row>
    <row r="329" spans="1:15" ht="12.75" customHeight="1">
      <c r="A329" s="118"/>
      <c r="B329" s="94" t="s">
        <v>327</v>
      </c>
      <c r="C329" s="93"/>
      <c r="D329" s="69">
        <v>-1</v>
      </c>
      <c r="E329" s="68">
        <v>1.7</v>
      </c>
      <c r="F329" s="68">
        <v>1.7</v>
      </c>
      <c r="G329" s="68">
        <v>0.3</v>
      </c>
      <c r="H329" s="68">
        <f t="shared" si="35"/>
        <v>-0.68094020766558749</v>
      </c>
      <c r="I329" s="68"/>
      <c r="J329" s="114"/>
      <c r="K329" s="117"/>
      <c r="M329" s="134"/>
      <c r="N329" s="134"/>
      <c r="O329" s="133"/>
    </row>
    <row r="330" spans="1:15" ht="12.75" customHeight="1">
      <c r="A330" s="118"/>
      <c r="B330" s="94" t="s">
        <v>328</v>
      </c>
      <c r="C330" s="93"/>
      <c r="D330" s="69">
        <v>1</v>
      </c>
      <c r="E330" s="68">
        <v>1.8</v>
      </c>
      <c r="F330" s="68">
        <v>1.8</v>
      </c>
      <c r="G330" s="68">
        <f>1.1+0.3</f>
        <v>1.4000000000000001</v>
      </c>
      <c r="H330" s="68">
        <f t="shared" si="35"/>
        <v>3.5625660691708263</v>
      </c>
      <c r="I330" s="68"/>
      <c r="J330" s="114"/>
      <c r="K330" s="117"/>
      <c r="M330" s="134"/>
      <c r="N330" s="134"/>
      <c r="O330" s="133"/>
    </row>
    <row r="331" spans="1:15" ht="12.75" customHeight="1">
      <c r="A331" s="118"/>
      <c r="B331" s="94" t="s">
        <v>329</v>
      </c>
      <c r="C331" s="93"/>
      <c r="D331" s="69">
        <v>-1</v>
      </c>
      <c r="E331" s="68">
        <v>1.7</v>
      </c>
      <c r="F331" s="68">
        <v>1.7</v>
      </c>
      <c r="G331" s="68">
        <v>0.3</v>
      </c>
      <c r="H331" s="68">
        <f t="shared" si="35"/>
        <v>-0.68094020766558749</v>
      </c>
      <c r="I331" s="68"/>
      <c r="J331" s="114"/>
      <c r="K331" s="117"/>
      <c r="M331" s="134"/>
      <c r="N331" s="134"/>
      <c r="O331" s="133"/>
    </row>
    <row r="332" spans="1:15" ht="12.75" customHeight="1">
      <c r="A332" s="118"/>
      <c r="B332" s="94" t="s">
        <v>330</v>
      </c>
      <c r="C332" s="93"/>
      <c r="D332" s="69">
        <v>1</v>
      </c>
      <c r="E332" s="68">
        <v>1.85</v>
      </c>
      <c r="F332" s="68">
        <v>1.85</v>
      </c>
      <c r="G332" s="68">
        <f>2.1+0.3</f>
        <v>2.4</v>
      </c>
      <c r="H332" s="68">
        <f t="shared" si="35"/>
        <v>6.4512605141466413</v>
      </c>
      <c r="I332" s="68"/>
      <c r="J332" s="114"/>
      <c r="K332" s="117"/>
      <c r="M332" s="134"/>
      <c r="N332" s="134"/>
      <c r="O332" s="133"/>
    </row>
    <row r="333" spans="1:15" ht="12.75" customHeight="1">
      <c r="A333" s="118"/>
      <c r="B333" s="94" t="s">
        <v>331</v>
      </c>
      <c r="C333" s="93"/>
      <c r="D333" s="69">
        <v>-1</v>
      </c>
      <c r="E333" s="68">
        <v>1.75</v>
      </c>
      <c r="F333" s="68">
        <v>1.75</v>
      </c>
      <c r="G333" s="68">
        <v>0.3</v>
      </c>
      <c r="H333" s="68">
        <f t="shared" si="35"/>
        <v>-0.72158456262140558</v>
      </c>
      <c r="I333" s="68"/>
      <c r="J333" s="114"/>
      <c r="K333" s="117"/>
      <c r="M333" s="134"/>
      <c r="N333" s="134"/>
      <c r="O333" s="133"/>
    </row>
    <row r="334" spans="1:15" ht="12.75" customHeight="1">
      <c r="A334" s="118"/>
      <c r="B334" s="94" t="s">
        <v>332</v>
      </c>
      <c r="C334" s="93"/>
      <c r="D334" s="69">
        <v>1</v>
      </c>
      <c r="E334" s="68">
        <v>1.85</v>
      </c>
      <c r="F334" s="68">
        <v>1.85</v>
      </c>
      <c r="G334" s="68">
        <f>1.1+0.3</f>
        <v>1.4000000000000001</v>
      </c>
      <c r="H334" s="68">
        <f t="shared" si="35"/>
        <v>3.7632352999188745</v>
      </c>
      <c r="I334" s="68"/>
      <c r="J334" s="114"/>
      <c r="K334" s="117"/>
      <c r="M334" s="134"/>
      <c r="N334" s="134"/>
      <c r="O334" s="133"/>
    </row>
    <row r="335" spans="1:15" ht="12.75" customHeight="1">
      <c r="A335" s="118"/>
      <c r="B335" s="94" t="s">
        <v>333</v>
      </c>
      <c r="C335" s="93"/>
      <c r="D335" s="69">
        <v>-1</v>
      </c>
      <c r="E335" s="68">
        <v>1.75</v>
      </c>
      <c r="F335" s="68">
        <v>1.75</v>
      </c>
      <c r="G335" s="68">
        <v>0.3</v>
      </c>
      <c r="H335" s="68">
        <f t="shared" si="35"/>
        <v>-0.72158456262140558</v>
      </c>
      <c r="I335" s="68"/>
      <c r="J335" s="114"/>
      <c r="K335" s="117"/>
      <c r="M335" s="134"/>
      <c r="N335" s="134"/>
      <c r="O335" s="133"/>
    </row>
    <row r="336" spans="1:15" ht="12.75" customHeight="1">
      <c r="A336" s="118"/>
      <c r="B336" s="94" t="s">
        <v>334</v>
      </c>
      <c r="C336" s="93"/>
      <c r="D336" s="69">
        <v>1</v>
      </c>
      <c r="E336" s="68">
        <v>2.6</v>
      </c>
      <c r="F336" s="68">
        <v>2.6</v>
      </c>
      <c r="G336" s="68">
        <f>2.3+0.3</f>
        <v>2.5999999999999996</v>
      </c>
      <c r="H336" s="68">
        <f t="shared" si="35"/>
        <v>13.80415811987355</v>
      </c>
      <c r="I336" s="68"/>
      <c r="J336" s="114"/>
      <c r="K336" s="117"/>
      <c r="M336" s="134"/>
      <c r="N336" s="134"/>
      <c r="O336" s="133"/>
    </row>
    <row r="337" spans="1:15" ht="12.75" customHeight="1">
      <c r="A337" s="118"/>
      <c r="B337" s="94" t="s">
        <v>335</v>
      </c>
      <c r="C337" s="93"/>
      <c r="D337" s="69">
        <v>-1</v>
      </c>
      <c r="E337" s="68">
        <v>2.5</v>
      </c>
      <c r="F337" s="68">
        <v>2.5</v>
      </c>
      <c r="G337" s="68">
        <v>0.3</v>
      </c>
      <c r="H337" s="68">
        <f t="shared" si="35"/>
        <v>-1.4726215563702156</v>
      </c>
      <c r="I337" s="68"/>
      <c r="J337" s="114"/>
      <c r="K337" s="117"/>
      <c r="M337" s="134"/>
      <c r="N337" s="134"/>
      <c r="O337" s="133"/>
    </row>
    <row r="338" spans="1:15" ht="12.75" customHeight="1">
      <c r="A338" s="118"/>
      <c r="B338" s="94" t="s">
        <v>336</v>
      </c>
      <c r="C338" s="93"/>
      <c r="D338" s="69">
        <v>1</v>
      </c>
      <c r="E338" s="68">
        <v>2.6</v>
      </c>
      <c r="F338" s="68">
        <v>2.6</v>
      </c>
      <c r="G338" s="68">
        <f>1+0.3</f>
        <v>1.3</v>
      </c>
      <c r="H338" s="68">
        <f t="shared" si="35"/>
        <v>6.9020790599367761</v>
      </c>
      <c r="I338" s="68"/>
      <c r="J338" s="114"/>
      <c r="K338" s="117"/>
      <c r="M338" s="134"/>
      <c r="N338" s="134"/>
      <c r="O338" s="133"/>
    </row>
    <row r="339" spans="1:15" ht="12.75" customHeight="1">
      <c r="A339" s="118"/>
      <c r="B339" s="94" t="s">
        <v>337</v>
      </c>
      <c r="C339" s="93"/>
      <c r="D339" s="69">
        <v>-1</v>
      </c>
      <c r="E339" s="68">
        <v>2.5</v>
      </c>
      <c r="F339" s="68">
        <v>2.5</v>
      </c>
      <c r="G339" s="68">
        <v>0.3</v>
      </c>
      <c r="H339" s="68">
        <f t="shared" si="35"/>
        <v>-1.4726215563702156</v>
      </c>
      <c r="I339" s="68"/>
      <c r="J339" s="114"/>
      <c r="K339" s="117"/>
      <c r="M339" s="134"/>
      <c r="N339" s="134"/>
      <c r="O339" s="133"/>
    </row>
    <row r="340" spans="1:15" ht="12.75" customHeight="1">
      <c r="A340" s="118"/>
      <c r="B340" s="94" t="s">
        <v>338</v>
      </c>
      <c r="C340" s="93"/>
      <c r="D340" s="69">
        <v>1</v>
      </c>
      <c r="E340" s="68">
        <v>1.9</v>
      </c>
      <c r="F340" s="68">
        <v>1.9</v>
      </c>
      <c r="G340" s="68">
        <f>1+0.3</f>
        <v>1.3</v>
      </c>
      <c r="H340" s="68">
        <f t="shared" si="35"/>
        <v>3.6858735808242247</v>
      </c>
      <c r="I340" s="68"/>
      <c r="J340" s="114"/>
      <c r="K340" s="117"/>
      <c r="M340" s="134"/>
      <c r="N340" s="134"/>
      <c r="O340" s="133"/>
    </row>
    <row r="341" spans="1:15" ht="12.75" customHeight="1">
      <c r="A341" s="118"/>
      <c r="B341" s="94" t="s">
        <v>339</v>
      </c>
      <c r="C341" s="93"/>
      <c r="D341" s="69">
        <v>-1</v>
      </c>
      <c r="E341" s="68">
        <v>1.8</v>
      </c>
      <c r="F341" s="68">
        <v>1.8</v>
      </c>
      <c r="G341" s="68">
        <v>0.3</v>
      </c>
      <c r="H341" s="68">
        <f t="shared" si="35"/>
        <v>-0.76340701482231976</v>
      </c>
      <c r="I341" s="68"/>
      <c r="J341" s="114"/>
      <c r="K341" s="117"/>
      <c r="M341" s="134"/>
      <c r="N341" s="134"/>
      <c r="O341" s="133"/>
    </row>
    <row r="342" spans="1:15" ht="12.75" customHeight="1">
      <c r="A342" s="118"/>
      <c r="B342" s="94" t="s">
        <v>340</v>
      </c>
      <c r="C342" s="93"/>
      <c r="D342" s="69">
        <v>1</v>
      </c>
      <c r="E342" s="68">
        <v>2.0499999999999998</v>
      </c>
      <c r="F342" s="68">
        <v>2.0499999999999998</v>
      </c>
      <c r="G342" s="68">
        <f>1.2+0.3</f>
        <v>1.5</v>
      </c>
      <c r="H342" s="68">
        <f t="shared" si="35"/>
        <v>4.9509536725166639</v>
      </c>
      <c r="I342" s="68"/>
      <c r="J342" s="114"/>
      <c r="K342" s="117"/>
      <c r="M342" s="134"/>
      <c r="N342" s="134"/>
      <c r="O342" s="133"/>
    </row>
    <row r="343" spans="1:15" ht="12.75" customHeight="1">
      <c r="A343" s="118"/>
      <c r="B343" s="94" t="s">
        <v>341</v>
      </c>
      <c r="C343" s="93"/>
      <c r="D343" s="69">
        <v>-1</v>
      </c>
      <c r="E343" s="68">
        <v>1.95</v>
      </c>
      <c r="F343" s="68">
        <v>1.95</v>
      </c>
      <c r="G343" s="68">
        <v>0.3</v>
      </c>
      <c r="H343" s="68">
        <f t="shared" si="35"/>
        <v>-0.89594295489563902</v>
      </c>
      <c r="I343" s="68"/>
      <c r="J343" s="114"/>
      <c r="K343" s="117"/>
      <c r="M343" s="134"/>
      <c r="N343" s="134"/>
      <c r="O343" s="133"/>
    </row>
    <row r="344" spans="1:15" ht="12.75" customHeight="1">
      <c r="A344" s="118"/>
      <c r="B344" s="94" t="s">
        <v>342</v>
      </c>
      <c r="C344" s="93"/>
      <c r="D344" s="69">
        <v>1</v>
      </c>
      <c r="E344" s="68">
        <v>2.4</v>
      </c>
      <c r="F344" s="68">
        <v>2.4</v>
      </c>
      <c r="G344" s="68">
        <f>1.2+0.3</f>
        <v>1.5</v>
      </c>
      <c r="H344" s="68">
        <f t="shared" si="35"/>
        <v>6.7858401317539538</v>
      </c>
      <c r="I344" s="68"/>
      <c r="J344" s="114"/>
      <c r="K344" s="117"/>
      <c r="M344" s="134"/>
      <c r="N344" s="134"/>
      <c r="O344" s="133"/>
    </row>
    <row r="345" spans="1:15" ht="12.75" customHeight="1">
      <c r="A345" s="118"/>
      <c r="B345" s="94" t="s">
        <v>343</v>
      </c>
      <c r="C345" s="93"/>
      <c r="D345" s="69">
        <v>-1</v>
      </c>
      <c r="E345" s="68">
        <v>2.2999999999999998</v>
      </c>
      <c r="F345" s="68">
        <v>2.2999999999999998</v>
      </c>
      <c r="G345" s="68">
        <v>0.3</v>
      </c>
      <c r="H345" s="68">
        <f t="shared" si="35"/>
        <v>-1.2464268853117502</v>
      </c>
      <c r="I345" s="68"/>
      <c r="J345" s="114"/>
      <c r="K345" s="117"/>
      <c r="M345" s="134"/>
      <c r="N345" s="134"/>
      <c r="O345" s="133"/>
    </row>
    <row r="346" spans="1:15" ht="12.75" customHeight="1">
      <c r="A346" s="118"/>
      <c r="B346" s="94" t="s">
        <v>344</v>
      </c>
      <c r="C346" s="93"/>
      <c r="D346" s="69">
        <v>1</v>
      </c>
      <c r="E346" s="68">
        <v>1.5</v>
      </c>
      <c r="F346" s="68">
        <v>1.5</v>
      </c>
      <c r="G346" s="68">
        <f>2.3+0.3</f>
        <v>2.5999999999999996</v>
      </c>
      <c r="H346" s="68">
        <f t="shared" si="35"/>
        <v>4.5945792558750718</v>
      </c>
      <c r="I346" s="68"/>
      <c r="J346" s="114"/>
      <c r="K346" s="117"/>
      <c r="M346" s="134"/>
      <c r="N346" s="134"/>
      <c r="O346" s="133"/>
    </row>
    <row r="347" spans="1:15" ht="12.75" customHeight="1">
      <c r="A347" s="118"/>
      <c r="B347" s="94" t="s">
        <v>345</v>
      </c>
      <c r="C347" s="93"/>
      <c r="D347" s="69">
        <v>-1</v>
      </c>
      <c r="E347" s="68">
        <v>1.4</v>
      </c>
      <c r="F347" s="68">
        <v>1.4</v>
      </c>
      <c r="G347" s="68">
        <v>0.3</v>
      </c>
      <c r="H347" s="68">
        <f t="shared" si="35"/>
        <v>-0.46181412007769951</v>
      </c>
      <c r="I347" s="68"/>
      <c r="J347" s="114"/>
      <c r="K347" s="117"/>
      <c r="M347" s="134"/>
      <c r="N347" s="134"/>
      <c r="O347" s="133"/>
    </row>
    <row r="348" spans="1:15" ht="12.75" customHeight="1">
      <c r="A348" s="118"/>
      <c r="B348" s="94" t="s">
        <v>346</v>
      </c>
      <c r="C348" s="93"/>
      <c r="D348" s="69">
        <v>1</v>
      </c>
      <c r="E348" s="68">
        <v>1.5</v>
      </c>
      <c r="F348" s="68">
        <v>1.5</v>
      </c>
      <c r="G348" s="68">
        <f>2.3+0.3</f>
        <v>2.5999999999999996</v>
      </c>
      <c r="H348" s="68">
        <f t="shared" si="35"/>
        <v>4.5945792558750718</v>
      </c>
      <c r="I348" s="68"/>
      <c r="J348" s="114"/>
      <c r="K348" s="117"/>
      <c r="M348" s="134"/>
      <c r="N348" s="134"/>
      <c r="O348" s="133"/>
    </row>
    <row r="349" spans="1:15" ht="12.75" customHeight="1">
      <c r="A349" s="118"/>
      <c r="B349" s="94" t="s">
        <v>347</v>
      </c>
      <c r="C349" s="93"/>
      <c r="D349" s="69">
        <v>-1</v>
      </c>
      <c r="E349" s="68">
        <v>1.4</v>
      </c>
      <c r="F349" s="68">
        <v>1.4</v>
      </c>
      <c r="G349" s="68">
        <v>0.3</v>
      </c>
      <c r="H349" s="68">
        <f t="shared" si="35"/>
        <v>-0.46181412007769951</v>
      </c>
      <c r="I349" s="68"/>
      <c r="J349" s="114"/>
      <c r="K349" s="117"/>
      <c r="M349" s="134"/>
      <c r="N349" s="134"/>
      <c r="O349" s="133"/>
    </row>
    <row r="350" spans="1:15" ht="12.75" customHeight="1">
      <c r="A350" s="118"/>
      <c r="B350" s="94" t="s">
        <v>348</v>
      </c>
      <c r="C350" s="93"/>
      <c r="D350" s="69">
        <v>1</v>
      </c>
      <c r="E350" s="68">
        <v>1.5</v>
      </c>
      <c r="F350" s="68">
        <v>1.5</v>
      </c>
      <c r="G350" s="68">
        <f>1.5+0.3</f>
        <v>1.8</v>
      </c>
      <c r="H350" s="68">
        <f t="shared" si="35"/>
        <v>3.1808625617596658</v>
      </c>
      <c r="I350" s="68"/>
      <c r="J350" s="114"/>
      <c r="K350" s="117"/>
      <c r="M350" s="134"/>
      <c r="N350" s="134"/>
      <c r="O350" s="133"/>
    </row>
    <row r="351" spans="1:15" ht="12.75" customHeight="1">
      <c r="A351" s="118"/>
      <c r="B351" s="94" t="s">
        <v>349</v>
      </c>
      <c r="C351" s="93"/>
      <c r="D351" s="69">
        <v>-1</v>
      </c>
      <c r="E351" s="68">
        <v>1.4</v>
      </c>
      <c r="F351" s="68">
        <v>1.4</v>
      </c>
      <c r="G351" s="68">
        <v>0.3</v>
      </c>
      <c r="H351" s="68">
        <f t="shared" si="35"/>
        <v>-0.46181412007769951</v>
      </c>
      <c r="I351" s="68"/>
      <c r="J351" s="114"/>
      <c r="K351" s="117"/>
      <c r="M351" s="134"/>
      <c r="N351" s="134"/>
      <c r="O351" s="133"/>
    </row>
    <row r="352" spans="1:15" ht="12.75" customHeight="1" thickBot="1">
      <c r="A352" s="143"/>
      <c r="B352" s="147" t="s">
        <v>350</v>
      </c>
      <c r="C352" s="144"/>
      <c r="D352" s="95">
        <v>1</v>
      </c>
      <c r="E352" s="92">
        <v>1.5</v>
      </c>
      <c r="F352" s="92">
        <v>1.5</v>
      </c>
      <c r="G352" s="92">
        <f>1.5+0.3</f>
        <v>1.8</v>
      </c>
      <c r="H352" s="92">
        <f t="shared" si="35"/>
        <v>3.1808625617596658</v>
      </c>
      <c r="I352" s="92"/>
      <c r="J352" s="145"/>
      <c r="K352" s="146"/>
      <c r="M352" s="134"/>
      <c r="N352" s="134"/>
      <c r="O352" s="133"/>
    </row>
    <row r="353" spans="1:15" ht="12.75" customHeight="1" thickTop="1">
      <c r="A353" s="91"/>
      <c r="B353" s="90"/>
      <c r="C353" s="90"/>
      <c r="D353" s="90"/>
      <c r="E353" s="90"/>
      <c r="F353" s="90"/>
      <c r="G353" s="90"/>
      <c r="H353" s="90"/>
      <c r="I353" s="90"/>
      <c r="J353" s="90"/>
      <c r="K353" s="89"/>
      <c r="M353" s="134"/>
      <c r="N353" s="134"/>
      <c r="O353" s="133"/>
    </row>
    <row r="354" spans="1:15" ht="16.5" customHeight="1">
      <c r="A354" s="569" t="s">
        <v>29</v>
      </c>
      <c r="B354" s="570"/>
      <c r="C354" s="570"/>
      <c r="D354" s="570"/>
      <c r="E354" s="570"/>
      <c r="F354" s="570"/>
      <c r="G354" s="570"/>
      <c r="H354" s="570"/>
      <c r="I354" s="570"/>
      <c r="J354" s="570"/>
      <c r="K354" s="571"/>
      <c r="M354" s="134"/>
      <c r="N354" s="134"/>
      <c r="O354" s="133"/>
    </row>
    <row r="355" spans="1:15" ht="16.5" customHeight="1">
      <c r="A355" s="572" t="s">
        <v>69</v>
      </c>
      <c r="B355" s="573"/>
      <c r="C355" s="573"/>
      <c r="D355" s="573"/>
      <c r="E355" s="573"/>
      <c r="F355" s="573"/>
      <c r="G355" s="573"/>
      <c r="H355" s="573"/>
      <c r="I355" s="573"/>
      <c r="J355" s="573"/>
      <c r="K355" s="574"/>
      <c r="M355" s="134"/>
      <c r="N355" s="134"/>
      <c r="O355" s="133"/>
    </row>
    <row r="356" spans="1:15" ht="12.75" customHeight="1">
      <c r="A356" s="88"/>
      <c r="B356" s="85"/>
      <c r="C356" s="85"/>
      <c r="D356" s="85"/>
      <c r="E356" s="85"/>
      <c r="F356" s="85"/>
      <c r="G356" s="85"/>
      <c r="H356" s="85"/>
      <c r="I356" s="85"/>
      <c r="J356" s="85"/>
      <c r="K356" s="87"/>
      <c r="M356" s="134"/>
      <c r="N356" s="134"/>
      <c r="O356" s="133"/>
    </row>
    <row r="357" spans="1:15" ht="7.5" customHeight="1">
      <c r="A357" s="55"/>
      <c r="B357" s="86"/>
      <c r="C357" s="86"/>
      <c r="D357" s="86"/>
      <c r="E357" s="86"/>
      <c r="F357" s="86"/>
      <c r="G357" s="86"/>
      <c r="H357" s="86"/>
      <c r="I357" s="86"/>
      <c r="J357" s="86"/>
      <c r="K357" s="81"/>
      <c r="M357" s="134"/>
      <c r="N357" s="134"/>
      <c r="O357" s="133"/>
    </row>
    <row r="358" spans="1:15" ht="12.75" customHeight="1">
      <c r="A358" s="575" t="s">
        <v>68</v>
      </c>
      <c r="B358" s="576"/>
      <c r="C358" s="576"/>
      <c r="D358" s="576"/>
      <c r="E358" s="576"/>
      <c r="F358" s="576"/>
      <c r="G358" s="576"/>
      <c r="H358" s="576"/>
      <c r="I358" s="576"/>
      <c r="J358" s="576"/>
      <c r="K358" s="577"/>
      <c r="M358" s="134"/>
      <c r="N358" s="134"/>
      <c r="O358" s="133"/>
    </row>
    <row r="359" spans="1:15" ht="8.25" customHeight="1">
      <c r="A359" s="55"/>
      <c r="B359" s="86"/>
      <c r="C359" s="86"/>
      <c r="D359" s="86"/>
      <c r="E359" s="86"/>
      <c r="F359" s="86"/>
      <c r="G359" s="86"/>
      <c r="H359" s="86"/>
      <c r="I359" s="86"/>
      <c r="J359" s="85"/>
      <c r="K359" s="81"/>
      <c r="M359" s="134"/>
      <c r="N359" s="134"/>
      <c r="O359" s="133"/>
    </row>
    <row r="360" spans="1:15" ht="12.75" customHeight="1">
      <c r="A360" s="84"/>
      <c r="B360" s="83" t="s">
        <v>11</v>
      </c>
      <c r="C360" s="578" t="s">
        <v>361</v>
      </c>
      <c r="D360" s="579"/>
      <c r="E360" s="579"/>
      <c r="F360" s="579"/>
      <c r="G360" s="579"/>
      <c r="H360" s="579"/>
      <c r="I360" s="579"/>
      <c r="J360" s="580"/>
      <c r="K360" s="81"/>
      <c r="M360" s="134"/>
      <c r="N360" s="134"/>
      <c r="O360" s="133"/>
    </row>
    <row r="361" spans="1:15" ht="7.5" customHeight="1">
      <c r="A361" s="80"/>
      <c r="K361" s="81"/>
      <c r="M361" s="134"/>
      <c r="N361" s="134"/>
      <c r="O361" s="133"/>
    </row>
    <row r="362" spans="1:15" ht="12.75" customHeight="1">
      <c r="A362" s="80"/>
      <c r="B362" s="82" t="s">
        <v>67</v>
      </c>
      <c r="C362" s="581" t="s">
        <v>66</v>
      </c>
      <c r="D362" s="582"/>
      <c r="E362" s="582"/>
      <c r="F362" s="582"/>
      <c r="G362" s="582"/>
      <c r="H362" s="582"/>
      <c r="I362" s="582"/>
      <c r="J362" s="583"/>
      <c r="K362" s="81"/>
      <c r="M362" s="134"/>
      <c r="N362" s="134"/>
      <c r="O362" s="133"/>
    </row>
    <row r="363" spans="1:15" ht="9" customHeight="1">
      <c r="A363" s="80"/>
      <c r="B363" s="79"/>
      <c r="D363" s="78"/>
      <c r="E363" s="78"/>
      <c r="F363" s="78"/>
      <c r="G363" s="78"/>
      <c r="H363" s="78"/>
      <c r="I363" s="78"/>
      <c r="K363" s="77"/>
      <c r="M363" s="134"/>
      <c r="N363" s="134"/>
      <c r="O363" s="133"/>
    </row>
    <row r="364" spans="1:15" ht="12.75" customHeight="1">
      <c r="A364" s="584" t="s">
        <v>84</v>
      </c>
      <c r="B364" s="585" t="s">
        <v>83</v>
      </c>
      <c r="C364" s="585" t="s">
        <v>82</v>
      </c>
      <c r="D364" s="585" t="s">
        <v>81</v>
      </c>
      <c r="E364" s="564" t="s">
        <v>80</v>
      </c>
      <c r="F364" s="564"/>
      <c r="G364" s="564"/>
      <c r="H364" s="564" t="s">
        <v>79</v>
      </c>
      <c r="I364" s="564"/>
      <c r="J364" s="564"/>
      <c r="K364" s="565" t="s">
        <v>58</v>
      </c>
      <c r="M364" s="134"/>
      <c r="N364" s="134"/>
      <c r="O364" s="133"/>
    </row>
    <row r="365" spans="1:15" ht="12.75" customHeight="1">
      <c r="A365" s="584"/>
      <c r="B365" s="585"/>
      <c r="C365" s="585"/>
      <c r="D365" s="585"/>
      <c r="E365" s="125" t="s">
        <v>78</v>
      </c>
      <c r="F365" s="125" t="s">
        <v>77</v>
      </c>
      <c r="G365" s="125" t="s">
        <v>76</v>
      </c>
      <c r="H365" s="125" t="s">
        <v>75</v>
      </c>
      <c r="I365" s="125" t="s">
        <v>74</v>
      </c>
      <c r="J365" s="125" t="s">
        <v>73</v>
      </c>
      <c r="K365" s="565"/>
      <c r="M365" s="134"/>
      <c r="N365" s="134"/>
      <c r="O365" s="133"/>
    </row>
    <row r="366" spans="1:15" ht="12.75" customHeight="1">
      <c r="A366" s="584"/>
      <c r="B366" s="585"/>
      <c r="C366" s="585"/>
      <c r="D366" s="585"/>
      <c r="E366" s="125" t="s">
        <v>70</v>
      </c>
      <c r="F366" s="125" t="s">
        <v>70</v>
      </c>
      <c r="G366" s="125" t="s">
        <v>70</v>
      </c>
      <c r="H366" s="125" t="s">
        <v>72</v>
      </c>
      <c r="I366" s="125" t="s">
        <v>71</v>
      </c>
      <c r="J366" s="125" t="s">
        <v>70</v>
      </c>
      <c r="K366" s="565"/>
      <c r="M366" s="134"/>
      <c r="N366" s="134"/>
      <c r="O366" s="133"/>
    </row>
    <row r="367" spans="1:15" ht="12.6" customHeight="1">
      <c r="A367" s="66">
        <v>7</v>
      </c>
      <c r="B367" s="65" t="s">
        <v>119</v>
      </c>
      <c r="C367" s="64" t="s">
        <v>48</v>
      </c>
      <c r="D367" s="76"/>
      <c r="E367" s="75"/>
      <c r="F367" s="75"/>
      <c r="G367" s="75"/>
      <c r="H367" s="75"/>
      <c r="I367" s="75"/>
      <c r="J367" s="74"/>
      <c r="K367" s="63"/>
      <c r="M367" s="134"/>
      <c r="N367" s="134"/>
      <c r="O367" s="133"/>
    </row>
    <row r="368" spans="1:15" ht="12.6" customHeight="1">
      <c r="A368" s="118"/>
      <c r="B368" s="94" t="s">
        <v>351</v>
      </c>
      <c r="C368" s="93"/>
      <c r="D368" s="69">
        <v>-1</v>
      </c>
      <c r="E368" s="68">
        <v>1.4</v>
      </c>
      <c r="F368" s="68">
        <v>1.4</v>
      </c>
      <c r="G368" s="68">
        <v>0.3</v>
      </c>
      <c r="H368" s="68">
        <f t="shared" si="35"/>
        <v>-0.46181412007769951</v>
      </c>
      <c r="I368" s="68"/>
      <c r="J368" s="114"/>
      <c r="K368" s="117"/>
      <c r="M368" s="134"/>
      <c r="N368" s="134"/>
      <c r="O368" s="133"/>
    </row>
    <row r="369" spans="1:15" ht="12.6" customHeight="1">
      <c r="A369" s="118"/>
      <c r="B369" s="94" t="s">
        <v>352</v>
      </c>
      <c r="C369" s="93"/>
      <c r="D369" s="69">
        <v>1</v>
      </c>
      <c r="E369" s="68">
        <v>1.5</v>
      </c>
      <c r="F369" s="68">
        <v>1.5</v>
      </c>
      <c r="G369" s="68">
        <f>1.1+0.3</f>
        <v>1.4000000000000001</v>
      </c>
      <c r="H369" s="68">
        <f t="shared" si="35"/>
        <v>2.4740042147019623</v>
      </c>
      <c r="I369" s="68"/>
      <c r="J369" s="114"/>
      <c r="K369" s="117"/>
      <c r="M369" s="134"/>
      <c r="N369" s="134"/>
      <c r="O369" s="133"/>
    </row>
    <row r="370" spans="1:15" ht="12.6" customHeight="1">
      <c r="A370" s="118"/>
      <c r="B370" s="94" t="s">
        <v>353</v>
      </c>
      <c r="C370" s="93"/>
      <c r="D370" s="69">
        <v>-1</v>
      </c>
      <c r="E370" s="68">
        <v>1.4</v>
      </c>
      <c r="F370" s="68">
        <v>1.4</v>
      </c>
      <c r="G370" s="68">
        <v>0.3</v>
      </c>
      <c r="H370" s="68">
        <f t="shared" si="35"/>
        <v>-0.46181412007769951</v>
      </c>
      <c r="I370" s="68"/>
      <c r="J370" s="114"/>
      <c r="K370" s="117"/>
      <c r="M370" s="134"/>
      <c r="N370" s="134"/>
      <c r="O370" s="133"/>
    </row>
    <row r="371" spans="1:15" ht="12.6" customHeight="1">
      <c r="A371" s="116"/>
      <c r="B371" s="161" t="s">
        <v>354</v>
      </c>
      <c r="C371" s="162"/>
      <c r="D371" s="163">
        <v>1</v>
      </c>
      <c r="E371" s="67">
        <v>1.3</v>
      </c>
      <c r="F371" s="67">
        <v>1.3</v>
      </c>
      <c r="G371" s="67">
        <f>1.1+0.3</f>
        <v>1.4000000000000001</v>
      </c>
      <c r="H371" s="67">
        <f t="shared" si="35"/>
        <v>1.858252054598363</v>
      </c>
      <c r="I371" s="67"/>
      <c r="J371" s="128"/>
      <c r="K371" s="164"/>
      <c r="M371" s="134"/>
      <c r="N371" s="134"/>
      <c r="O371" s="133"/>
    </row>
    <row r="372" spans="1:15" ht="12.6" customHeight="1">
      <c r="A372" s="118"/>
      <c r="B372" s="94" t="s">
        <v>355</v>
      </c>
      <c r="C372" s="93"/>
      <c r="D372" s="69">
        <v>-1</v>
      </c>
      <c r="E372" s="68">
        <v>1.2</v>
      </c>
      <c r="F372" s="68">
        <v>1.2</v>
      </c>
      <c r="G372" s="68">
        <v>0.3</v>
      </c>
      <c r="H372" s="68">
        <f>((PI()/4)*(E372*E372))*(G372)*D372</f>
        <v>-0.33929200658769765</v>
      </c>
      <c r="I372" s="68"/>
      <c r="J372" s="114"/>
      <c r="K372" s="117"/>
      <c r="M372" s="134"/>
      <c r="N372" s="134"/>
      <c r="O372" s="133"/>
    </row>
    <row r="373" spans="1:15" ht="12.6" customHeight="1">
      <c r="A373" s="118"/>
      <c r="B373" s="94" t="s">
        <v>356</v>
      </c>
      <c r="C373" s="93"/>
      <c r="D373" s="69">
        <v>1</v>
      </c>
      <c r="E373" s="68">
        <v>1.2</v>
      </c>
      <c r="F373" s="68">
        <v>1.2</v>
      </c>
      <c r="G373" s="68">
        <f>1.1+0.3</f>
        <v>1.4000000000000001</v>
      </c>
      <c r="H373" s="68">
        <f>((PI()/4)*(E373*E373))*(G373)*D373</f>
        <v>1.5833626974092558</v>
      </c>
      <c r="I373" s="68"/>
      <c r="J373" s="114"/>
      <c r="K373" s="117"/>
      <c r="M373" s="134"/>
      <c r="N373" s="134"/>
      <c r="O373" s="133"/>
    </row>
    <row r="374" spans="1:15" ht="12.6" customHeight="1">
      <c r="A374" s="115"/>
      <c r="B374" s="111" t="s">
        <v>357</v>
      </c>
      <c r="C374" s="140"/>
      <c r="D374" s="71">
        <v>-1</v>
      </c>
      <c r="E374" s="70">
        <v>1.1000000000000001</v>
      </c>
      <c r="F374" s="70">
        <v>1.1000000000000001</v>
      </c>
      <c r="G374" s="70">
        <v>0.3</v>
      </c>
      <c r="H374" s="70">
        <f>((PI()/4)*(E374*E374))*(G374)*D374</f>
        <v>-0.28509953331327376</v>
      </c>
      <c r="I374" s="70"/>
      <c r="J374" s="141"/>
      <c r="K374" s="113"/>
      <c r="M374" s="134"/>
      <c r="N374" s="134"/>
      <c r="O374" s="133"/>
    </row>
    <row r="375" spans="1:15" ht="12.6" customHeight="1">
      <c r="A375" s="173">
        <v>8</v>
      </c>
      <c r="B375" s="174" t="s">
        <v>120</v>
      </c>
      <c r="C375" s="175" t="s">
        <v>109</v>
      </c>
      <c r="D375" s="176"/>
      <c r="E375" s="177"/>
      <c r="F375" s="177"/>
      <c r="G375" s="177"/>
      <c r="H375" s="177"/>
      <c r="I375" s="177"/>
      <c r="J375" s="198"/>
      <c r="K375" s="199">
        <f>SUM(H377:H419)+SUM(H434:H506)+SUM(H521:H540)</f>
        <v>50509.23</v>
      </c>
      <c r="M375" s="134"/>
      <c r="N375" s="134"/>
      <c r="O375" s="133"/>
    </row>
    <row r="376" spans="1:15" ht="12.6" customHeight="1">
      <c r="A376" s="212"/>
      <c r="B376" s="200" t="s">
        <v>284</v>
      </c>
      <c r="C376" s="201"/>
      <c r="D376" s="202"/>
      <c r="E376" s="203"/>
      <c r="F376" s="203"/>
      <c r="G376" s="203"/>
      <c r="H376" s="203"/>
      <c r="I376" s="203"/>
      <c r="J376" s="204"/>
      <c r="K376" s="205"/>
      <c r="M376" s="134"/>
      <c r="N376" s="134"/>
      <c r="O376" s="133"/>
    </row>
    <row r="377" spans="1:15" ht="12.6" customHeight="1">
      <c r="A377" s="215"/>
      <c r="B377" s="184" t="s">
        <v>466</v>
      </c>
      <c r="C377" s="185"/>
      <c r="D377" s="186">
        <v>2</v>
      </c>
      <c r="E377" s="187">
        <v>50.44</v>
      </c>
      <c r="F377" s="187"/>
      <c r="G377" s="187"/>
      <c r="H377" s="187">
        <f>D377*E377</f>
        <v>100.88</v>
      </c>
      <c r="I377" s="187"/>
      <c r="J377" s="206"/>
      <c r="K377" s="207"/>
      <c r="M377" s="134"/>
      <c r="N377" s="134"/>
      <c r="O377" s="133"/>
    </row>
    <row r="378" spans="1:15" ht="12.6" customHeight="1">
      <c r="A378" s="188"/>
      <c r="B378" s="189" t="s">
        <v>467</v>
      </c>
      <c r="C378" s="190"/>
      <c r="D378" s="191">
        <v>2</v>
      </c>
      <c r="E378" s="192">
        <v>124.49</v>
      </c>
      <c r="F378" s="192"/>
      <c r="G378" s="192"/>
      <c r="H378" s="192">
        <f t="shared" ref="H378:H458" si="36">D378*E378</f>
        <v>248.98</v>
      </c>
      <c r="I378" s="192"/>
      <c r="J378" s="208"/>
      <c r="K378" s="209"/>
      <c r="M378" s="134"/>
      <c r="N378" s="134"/>
      <c r="O378" s="133"/>
    </row>
    <row r="379" spans="1:15" ht="12.6" customHeight="1">
      <c r="A379" s="178"/>
      <c r="B379" s="216" t="s">
        <v>468</v>
      </c>
      <c r="C379" s="217"/>
      <c r="D379" s="218">
        <v>2</v>
      </c>
      <c r="E379" s="219">
        <v>89.51</v>
      </c>
      <c r="F379" s="219"/>
      <c r="G379" s="219"/>
      <c r="H379" s="219">
        <f t="shared" si="36"/>
        <v>179.02</v>
      </c>
      <c r="I379" s="219"/>
      <c r="J379" s="220"/>
      <c r="K379" s="221"/>
      <c r="M379" s="134"/>
      <c r="N379" s="134"/>
      <c r="O379" s="133"/>
    </row>
    <row r="380" spans="1:15" ht="12.6" customHeight="1">
      <c r="A380" s="188"/>
      <c r="B380" s="189" t="s">
        <v>469</v>
      </c>
      <c r="C380" s="190"/>
      <c r="D380" s="191">
        <v>2</v>
      </c>
      <c r="E380" s="192">
        <v>162.44999999999999</v>
      </c>
      <c r="F380" s="192"/>
      <c r="G380" s="192"/>
      <c r="H380" s="192">
        <f t="shared" si="36"/>
        <v>324.89999999999998</v>
      </c>
      <c r="I380" s="192"/>
      <c r="J380" s="208"/>
      <c r="K380" s="209"/>
      <c r="M380" s="134"/>
      <c r="N380" s="134"/>
      <c r="O380" s="133"/>
    </row>
    <row r="381" spans="1:15" ht="12.6" customHeight="1">
      <c r="A381" s="188"/>
      <c r="B381" s="189" t="s">
        <v>470</v>
      </c>
      <c r="C381" s="190"/>
      <c r="D381" s="191">
        <v>2</v>
      </c>
      <c r="E381" s="192">
        <v>98.57</v>
      </c>
      <c r="F381" s="192"/>
      <c r="G381" s="192"/>
      <c r="H381" s="192">
        <f t="shared" si="36"/>
        <v>197.14</v>
      </c>
      <c r="I381" s="192"/>
      <c r="J381" s="208"/>
      <c r="K381" s="209"/>
      <c r="M381" s="134"/>
      <c r="N381" s="134"/>
      <c r="O381" s="133"/>
    </row>
    <row r="382" spans="1:15" ht="12.6" customHeight="1">
      <c r="A382" s="188"/>
      <c r="B382" s="189" t="s">
        <v>471</v>
      </c>
      <c r="C382" s="190"/>
      <c r="D382" s="191">
        <v>1</v>
      </c>
      <c r="E382" s="192">
        <v>266.43</v>
      </c>
      <c r="F382" s="192"/>
      <c r="G382" s="192"/>
      <c r="H382" s="192">
        <f t="shared" si="36"/>
        <v>266.43</v>
      </c>
      <c r="I382" s="192"/>
      <c r="J382" s="208"/>
      <c r="K382" s="209"/>
      <c r="M382" s="134"/>
      <c r="N382" s="134"/>
      <c r="O382" s="133"/>
    </row>
    <row r="383" spans="1:15" ht="12.6" customHeight="1">
      <c r="A383" s="188"/>
      <c r="B383" s="189" t="s">
        <v>472</v>
      </c>
      <c r="C383" s="190"/>
      <c r="D383" s="191">
        <v>1</v>
      </c>
      <c r="E383" s="192">
        <v>185.07</v>
      </c>
      <c r="F383" s="192"/>
      <c r="G383" s="192"/>
      <c r="H383" s="192">
        <f t="shared" si="36"/>
        <v>185.07</v>
      </c>
      <c r="I383" s="192"/>
      <c r="J383" s="208"/>
      <c r="K383" s="209"/>
      <c r="M383" s="134"/>
      <c r="N383" s="134"/>
      <c r="O383" s="133"/>
    </row>
    <row r="384" spans="1:15" ht="12.6" customHeight="1">
      <c r="A384" s="188"/>
      <c r="B384" s="189" t="s">
        <v>473</v>
      </c>
      <c r="C384" s="190"/>
      <c r="D384" s="191">
        <v>1</v>
      </c>
      <c r="E384" s="192">
        <v>359.74</v>
      </c>
      <c r="F384" s="192"/>
      <c r="G384" s="192"/>
      <c r="H384" s="192">
        <f t="shared" si="36"/>
        <v>359.74</v>
      </c>
      <c r="I384" s="192"/>
      <c r="J384" s="208"/>
      <c r="K384" s="209"/>
      <c r="M384" s="134"/>
      <c r="N384" s="134"/>
      <c r="O384" s="133"/>
    </row>
    <row r="385" spans="1:15" ht="12.6" customHeight="1">
      <c r="A385" s="188"/>
      <c r="B385" s="189" t="s">
        <v>474</v>
      </c>
      <c r="C385" s="190"/>
      <c r="D385" s="191">
        <v>1</v>
      </c>
      <c r="E385" s="192">
        <v>49.37</v>
      </c>
      <c r="F385" s="192"/>
      <c r="G385" s="192"/>
      <c r="H385" s="192">
        <f t="shared" si="36"/>
        <v>49.37</v>
      </c>
      <c r="I385" s="192"/>
      <c r="J385" s="208"/>
      <c r="K385" s="209"/>
      <c r="M385" s="134"/>
      <c r="N385" s="134"/>
      <c r="O385" s="133"/>
    </row>
    <row r="386" spans="1:15" ht="12.6" customHeight="1">
      <c r="A386" s="188"/>
      <c r="B386" s="189" t="s">
        <v>475</v>
      </c>
      <c r="C386" s="190"/>
      <c r="D386" s="191">
        <v>2</v>
      </c>
      <c r="E386" s="192">
        <v>98.92</v>
      </c>
      <c r="F386" s="192"/>
      <c r="G386" s="192"/>
      <c r="H386" s="192">
        <f t="shared" si="36"/>
        <v>197.84</v>
      </c>
      <c r="I386" s="192"/>
      <c r="J386" s="208"/>
      <c r="K386" s="209"/>
      <c r="M386" s="134"/>
      <c r="N386" s="134"/>
      <c r="O386" s="133"/>
    </row>
    <row r="387" spans="1:15" ht="12.6" customHeight="1">
      <c r="A387" s="188"/>
      <c r="B387" s="189" t="s">
        <v>476</v>
      </c>
      <c r="C387" s="190"/>
      <c r="D387" s="191">
        <v>1</v>
      </c>
      <c r="E387" s="192">
        <v>163.33000000000001</v>
      </c>
      <c r="F387" s="192"/>
      <c r="G387" s="192"/>
      <c r="H387" s="192">
        <f t="shared" si="36"/>
        <v>163.33000000000001</v>
      </c>
      <c r="I387" s="192"/>
      <c r="J387" s="208"/>
      <c r="K387" s="209"/>
      <c r="M387" s="134"/>
      <c r="N387" s="134"/>
      <c r="O387" s="133"/>
    </row>
    <row r="388" spans="1:15" ht="12.6" customHeight="1">
      <c r="A388" s="188"/>
      <c r="B388" s="189" t="s">
        <v>477</v>
      </c>
      <c r="C388" s="190"/>
      <c r="D388" s="191">
        <v>2</v>
      </c>
      <c r="E388" s="192">
        <v>188.94</v>
      </c>
      <c r="F388" s="192"/>
      <c r="G388" s="192"/>
      <c r="H388" s="192">
        <f t="shared" si="36"/>
        <v>377.88</v>
      </c>
      <c r="I388" s="192"/>
      <c r="J388" s="208"/>
      <c r="K388" s="209"/>
      <c r="M388" s="134"/>
      <c r="N388" s="134"/>
      <c r="O388" s="133"/>
    </row>
    <row r="389" spans="1:15" ht="12.6" customHeight="1">
      <c r="A389" s="188"/>
      <c r="B389" s="189" t="s">
        <v>478</v>
      </c>
      <c r="C389" s="190"/>
      <c r="D389" s="191">
        <v>2</v>
      </c>
      <c r="E389" s="192">
        <v>282.39</v>
      </c>
      <c r="F389" s="192"/>
      <c r="G389" s="192"/>
      <c r="H389" s="192">
        <f t="shared" si="36"/>
        <v>564.78</v>
      </c>
      <c r="I389" s="192"/>
      <c r="J389" s="208"/>
      <c r="K389" s="209"/>
      <c r="M389" s="134"/>
      <c r="N389" s="134"/>
      <c r="O389" s="133"/>
    </row>
    <row r="390" spans="1:15" ht="12.6" customHeight="1">
      <c r="A390" s="188"/>
      <c r="B390" s="189" t="s">
        <v>479</v>
      </c>
      <c r="C390" s="190"/>
      <c r="D390" s="191">
        <v>1</v>
      </c>
      <c r="E390" s="192">
        <v>86.6</v>
      </c>
      <c r="F390" s="192"/>
      <c r="G390" s="192"/>
      <c r="H390" s="192">
        <f t="shared" si="36"/>
        <v>86.6</v>
      </c>
      <c r="I390" s="192"/>
      <c r="J390" s="208"/>
      <c r="K390" s="209"/>
      <c r="M390" s="134"/>
      <c r="N390" s="134"/>
      <c r="O390" s="133"/>
    </row>
    <row r="391" spans="1:15" ht="12.6" customHeight="1">
      <c r="A391" s="188"/>
      <c r="B391" s="189" t="s">
        <v>480</v>
      </c>
      <c r="C391" s="190"/>
      <c r="D391" s="191">
        <v>1</v>
      </c>
      <c r="E391" s="192">
        <v>115.3</v>
      </c>
      <c r="F391" s="192"/>
      <c r="G391" s="192"/>
      <c r="H391" s="192">
        <f t="shared" si="36"/>
        <v>115.3</v>
      </c>
      <c r="I391" s="192"/>
      <c r="J391" s="208"/>
      <c r="K391" s="209"/>
      <c r="M391" s="134"/>
      <c r="N391" s="134"/>
      <c r="O391" s="133"/>
    </row>
    <row r="392" spans="1:15" ht="12.6" customHeight="1">
      <c r="A392" s="178"/>
      <c r="B392" s="194" t="s">
        <v>481</v>
      </c>
      <c r="C392" s="195"/>
      <c r="D392" s="196">
        <v>1</v>
      </c>
      <c r="E392" s="197">
        <v>212.21</v>
      </c>
      <c r="F392" s="197"/>
      <c r="G392" s="197"/>
      <c r="H392" s="197">
        <f t="shared" si="36"/>
        <v>212.21</v>
      </c>
      <c r="I392" s="197"/>
      <c r="J392" s="210"/>
      <c r="K392" s="211"/>
      <c r="M392" s="134"/>
      <c r="N392" s="134"/>
      <c r="O392" s="133"/>
    </row>
    <row r="393" spans="1:15" ht="12.6" customHeight="1">
      <c r="A393" s="212"/>
      <c r="B393" s="179" t="s">
        <v>90</v>
      </c>
      <c r="C393" s="180"/>
      <c r="D393" s="181"/>
      <c r="E393" s="182"/>
      <c r="F393" s="182"/>
      <c r="G393" s="182"/>
      <c r="H393" s="182"/>
      <c r="I393" s="182"/>
      <c r="J393" s="213"/>
      <c r="K393" s="214"/>
      <c r="M393" s="134"/>
      <c r="N393" s="134"/>
      <c r="O393" s="133"/>
    </row>
    <row r="394" spans="1:15" ht="12.6" customHeight="1">
      <c r="A394" s="215"/>
      <c r="B394" s="184" t="s">
        <v>466</v>
      </c>
      <c r="C394" s="185"/>
      <c r="D394" s="186">
        <v>3</v>
      </c>
      <c r="E394" s="187">
        <v>162</v>
      </c>
      <c r="F394" s="187"/>
      <c r="G394" s="187"/>
      <c r="H394" s="187">
        <f t="shared" si="36"/>
        <v>486</v>
      </c>
      <c r="I394" s="187"/>
      <c r="J394" s="206"/>
      <c r="K394" s="207"/>
      <c r="M394" s="134"/>
      <c r="N394" s="134"/>
      <c r="O394" s="133"/>
    </row>
    <row r="395" spans="1:15" ht="12.6" customHeight="1">
      <c r="A395" s="188"/>
      <c r="B395" s="189" t="s">
        <v>467</v>
      </c>
      <c r="C395" s="190"/>
      <c r="D395" s="191">
        <v>3</v>
      </c>
      <c r="E395" s="192">
        <v>216</v>
      </c>
      <c r="F395" s="192"/>
      <c r="G395" s="192"/>
      <c r="H395" s="192">
        <f t="shared" si="36"/>
        <v>648</v>
      </c>
      <c r="I395" s="192"/>
      <c r="J395" s="208"/>
      <c r="K395" s="209"/>
      <c r="M395" s="134"/>
      <c r="N395" s="134"/>
      <c r="O395" s="133"/>
    </row>
    <row r="396" spans="1:15" ht="12.6" customHeight="1">
      <c r="A396" s="188"/>
      <c r="B396" s="189" t="s">
        <v>468</v>
      </c>
      <c r="C396" s="190"/>
      <c r="D396" s="191">
        <v>3</v>
      </c>
      <c r="E396" s="192">
        <v>141</v>
      </c>
      <c r="F396" s="192"/>
      <c r="G396" s="192"/>
      <c r="H396" s="192">
        <f t="shared" si="36"/>
        <v>423</v>
      </c>
      <c r="I396" s="192"/>
      <c r="J396" s="208"/>
      <c r="K396" s="209"/>
      <c r="M396" s="134"/>
      <c r="N396" s="134"/>
      <c r="O396" s="133"/>
    </row>
    <row r="397" spans="1:15" ht="12.6" customHeight="1">
      <c r="A397" s="188"/>
      <c r="B397" s="189" t="s">
        <v>469</v>
      </c>
      <c r="C397" s="190"/>
      <c r="D397" s="191">
        <v>4</v>
      </c>
      <c r="E397" s="192">
        <v>234</v>
      </c>
      <c r="F397" s="192"/>
      <c r="G397" s="192"/>
      <c r="H397" s="192">
        <f t="shared" si="36"/>
        <v>936</v>
      </c>
      <c r="I397" s="192"/>
      <c r="J397" s="208"/>
      <c r="K397" s="209"/>
      <c r="M397" s="134"/>
      <c r="N397" s="134"/>
      <c r="O397" s="133"/>
    </row>
    <row r="398" spans="1:15" ht="12.6" customHeight="1">
      <c r="A398" s="188"/>
      <c r="B398" s="189" t="s">
        <v>470</v>
      </c>
      <c r="C398" s="190"/>
      <c r="D398" s="191">
        <v>3</v>
      </c>
      <c r="E398" s="192">
        <v>216</v>
      </c>
      <c r="F398" s="192"/>
      <c r="G398" s="192"/>
      <c r="H398" s="192">
        <f t="shared" si="36"/>
        <v>648</v>
      </c>
      <c r="I398" s="192"/>
      <c r="J398" s="208"/>
      <c r="K398" s="209"/>
      <c r="M398" s="134"/>
      <c r="N398" s="134"/>
      <c r="O398" s="133"/>
    </row>
    <row r="399" spans="1:15" ht="12.6" customHeight="1">
      <c r="A399" s="188"/>
      <c r="B399" s="189" t="s">
        <v>471</v>
      </c>
      <c r="C399" s="190"/>
      <c r="D399" s="191">
        <v>5</v>
      </c>
      <c r="E399" s="192">
        <v>30</v>
      </c>
      <c r="F399" s="192"/>
      <c r="G399" s="192"/>
      <c r="H399" s="192">
        <f t="shared" si="36"/>
        <v>150</v>
      </c>
      <c r="I399" s="192"/>
      <c r="J399" s="208"/>
      <c r="K399" s="209"/>
      <c r="M399" s="134"/>
      <c r="N399" s="134"/>
      <c r="O399" s="133"/>
    </row>
    <row r="400" spans="1:15" ht="12.6" customHeight="1">
      <c r="A400" s="188"/>
      <c r="B400" s="189" t="s">
        <v>472</v>
      </c>
      <c r="C400" s="190"/>
      <c r="D400" s="191">
        <v>2</v>
      </c>
      <c r="E400" s="192">
        <v>80</v>
      </c>
      <c r="F400" s="192"/>
      <c r="G400" s="192"/>
      <c r="H400" s="192">
        <f t="shared" si="36"/>
        <v>160</v>
      </c>
      <c r="I400" s="192"/>
      <c r="J400" s="208"/>
      <c r="K400" s="209"/>
      <c r="M400" s="134"/>
      <c r="N400" s="134"/>
      <c r="O400" s="133"/>
    </row>
    <row r="401" spans="1:15" ht="12.6" customHeight="1">
      <c r="A401" s="188"/>
      <c r="B401" s="189" t="s">
        <v>473</v>
      </c>
      <c r="C401" s="190"/>
      <c r="D401" s="191">
        <v>4</v>
      </c>
      <c r="E401" s="192">
        <v>114</v>
      </c>
      <c r="F401" s="192"/>
      <c r="G401" s="192"/>
      <c r="H401" s="192">
        <f t="shared" si="36"/>
        <v>456</v>
      </c>
      <c r="I401" s="192"/>
      <c r="J401" s="208"/>
      <c r="K401" s="209"/>
      <c r="M401" s="134"/>
      <c r="N401" s="134"/>
      <c r="O401" s="133"/>
    </row>
    <row r="402" spans="1:15" ht="12.6" customHeight="1">
      <c r="A402" s="188"/>
      <c r="B402" s="189" t="s">
        <v>474</v>
      </c>
      <c r="C402" s="190"/>
      <c r="D402" s="191">
        <v>2</v>
      </c>
      <c r="E402" s="192">
        <v>129</v>
      </c>
      <c r="F402" s="192"/>
      <c r="G402" s="192"/>
      <c r="H402" s="192">
        <f t="shared" si="36"/>
        <v>258</v>
      </c>
      <c r="I402" s="192"/>
      <c r="J402" s="208"/>
      <c r="K402" s="209"/>
      <c r="M402" s="134"/>
      <c r="N402" s="134"/>
      <c r="O402" s="133"/>
    </row>
    <row r="403" spans="1:15" ht="12.6" customHeight="1">
      <c r="A403" s="188"/>
      <c r="B403" s="189" t="s">
        <v>475</v>
      </c>
      <c r="C403" s="190"/>
      <c r="D403" s="191">
        <v>2</v>
      </c>
      <c r="E403" s="192">
        <v>281</v>
      </c>
      <c r="F403" s="192"/>
      <c r="G403" s="192"/>
      <c r="H403" s="192">
        <f t="shared" si="36"/>
        <v>562</v>
      </c>
      <c r="I403" s="192"/>
      <c r="J403" s="208"/>
      <c r="K403" s="209"/>
      <c r="M403" s="134"/>
      <c r="N403" s="134"/>
      <c r="O403" s="133"/>
    </row>
    <row r="404" spans="1:15" ht="12.6" customHeight="1">
      <c r="A404" s="178"/>
      <c r="B404" s="194" t="s">
        <v>476</v>
      </c>
      <c r="C404" s="195"/>
      <c r="D404" s="196">
        <v>3</v>
      </c>
      <c r="E404" s="197">
        <v>57</v>
      </c>
      <c r="F404" s="197"/>
      <c r="G404" s="197"/>
      <c r="H404" s="197">
        <f t="shared" si="36"/>
        <v>171</v>
      </c>
      <c r="I404" s="197"/>
      <c r="J404" s="210"/>
      <c r="K404" s="211"/>
      <c r="M404" s="134"/>
      <c r="N404" s="134"/>
      <c r="O404" s="133"/>
    </row>
    <row r="405" spans="1:15" ht="12.6" customHeight="1">
      <c r="A405" s="212"/>
      <c r="B405" s="179" t="s">
        <v>482</v>
      </c>
      <c r="C405" s="180"/>
      <c r="D405" s="181"/>
      <c r="E405" s="182"/>
      <c r="F405" s="182"/>
      <c r="G405" s="182"/>
      <c r="H405" s="182"/>
      <c r="I405" s="182"/>
      <c r="J405" s="213"/>
      <c r="K405" s="214"/>
      <c r="M405" s="134"/>
      <c r="N405" s="134"/>
      <c r="O405" s="133"/>
    </row>
    <row r="406" spans="1:15" ht="12.6" customHeight="1">
      <c r="A406" s="215"/>
      <c r="B406" s="184" t="s">
        <v>672</v>
      </c>
      <c r="C406" s="185"/>
      <c r="D406" s="186">
        <v>2</v>
      </c>
      <c r="E406" s="187">
        <v>117.26</v>
      </c>
      <c r="F406" s="187"/>
      <c r="G406" s="187"/>
      <c r="H406" s="187">
        <f>D406*E406</f>
        <v>234.52</v>
      </c>
      <c r="I406" s="187"/>
      <c r="J406" s="206"/>
      <c r="K406" s="207"/>
      <c r="M406" s="134"/>
      <c r="N406" s="134"/>
      <c r="O406" s="133"/>
    </row>
    <row r="407" spans="1:15" ht="12.6" customHeight="1">
      <c r="A407" s="215"/>
      <c r="B407" s="189" t="s">
        <v>673</v>
      </c>
      <c r="C407" s="309"/>
      <c r="D407" s="310">
        <v>4</v>
      </c>
      <c r="E407" s="311">
        <v>106.21</v>
      </c>
      <c r="F407" s="311"/>
      <c r="G407" s="311"/>
      <c r="H407" s="311">
        <f t="shared" si="36"/>
        <v>424.84</v>
      </c>
      <c r="I407" s="311"/>
      <c r="J407" s="312"/>
      <c r="K407" s="313"/>
      <c r="M407" s="308"/>
      <c r="N407" s="308"/>
      <c r="O407" s="133"/>
    </row>
    <row r="408" spans="1:15" ht="12.6" customHeight="1">
      <c r="A408" s="215"/>
      <c r="B408" s="189" t="s">
        <v>674</v>
      </c>
      <c r="C408" s="309"/>
      <c r="D408" s="310">
        <v>2</v>
      </c>
      <c r="E408" s="311">
        <v>105.67</v>
      </c>
      <c r="F408" s="311"/>
      <c r="G408" s="311"/>
      <c r="H408" s="311">
        <f t="shared" si="36"/>
        <v>211.34</v>
      </c>
      <c r="I408" s="311"/>
      <c r="J408" s="312"/>
      <c r="K408" s="313"/>
      <c r="M408" s="308"/>
      <c r="N408" s="308"/>
      <c r="O408" s="133"/>
    </row>
    <row r="409" spans="1:15" ht="12.6" customHeight="1">
      <c r="A409" s="215"/>
      <c r="B409" s="189" t="s">
        <v>675</v>
      </c>
      <c r="C409" s="309"/>
      <c r="D409" s="310">
        <v>3</v>
      </c>
      <c r="E409" s="311">
        <v>105.85</v>
      </c>
      <c r="F409" s="311"/>
      <c r="G409" s="311"/>
      <c r="H409" s="311">
        <f t="shared" si="36"/>
        <v>317.54999999999995</v>
      </c>
      <c r="I409" s="311"/>
      <c r="J409" s="312"/>
      <c r="K409" s="313"/>
      <c r="M409" s="308"/>
      <c r="N409" s="308"/>
      <c r="O409" s="133"/>
    </row>
    <row r="410" spans="1:15" ht="12.6" customHeight="1">
      <c r="A410" s="215"/>
      <c r="B410" s="189" t="s">
        <v>676</v>
      </c>
      <c r="C410" s="309"/>
      <c r="D410" s="310">
        <v>2</v>
      </c>
      <c r="E410" s="311">
        <v>106.38</v>
      </c>
      <c r="F410" s="311"/>
      <c r="G410" s="311"/>
      <c r="H410" s="311">
        <f t="shared" si="36"/>
        <v>212.76</v>
      </c>
      <c r="I410" s="311"/>
      <c r="J410" s="312"/>
      <c r="K410" s="313"/>
      <c r="M410" s="308"/>
      <c r="N410" s="308"/>
      <c r="O410" s="133"/>
    </row>
    <row r="411" spans="1:15" ht="12.6" customHeight="1">
      <c r="A411" s="215"/>
      <c r="B411" s="189" t="s">
        <v>677</v>
      </c>
      <c r="C411" s="309"/>
      <c r="D411" s="310">
        <v>2</v>
      </c>
      <c r="E411" s="311">
        <v>103.4</v>
      </c>
      <c r="F411" s="311"/>
      <c r="G411" s="311"/>
      <c r="H411" s="311">
        <f t="shared" si="36"/>
        <v>206.8</v>
      </c>
      <c r="I411" s="311"/>
      <c r="J411" s="312"/>
      <c r="K411" s="313"/>
      <c r="M411" s="308"/>
      <c r="N411" s="308"/>
      <c r="O411" s="133"/>
    </row>
    <row r="412" spans="1:15" ht="12.6" customHeight="1">
      <c r="A412" s="215"/>
      <c r="B412" s="189" t="s">
        <v>678</v>
      </c>
      <c r="C412" s="309"/>
      <c r="D412" s="310">
        <v>1</v>
      </c>
      <c r="E412" s="311">
        <v>98.31</v>
      </c>
      <c r="F412" s="311"/>
      <c r="G412" s="311"/>
      <c r="H412" s="311">
        <f t="shared" si="36"/>
        <v>98.31</v>
      </c>
      <c r="I412" s="311"/>
      <c r="J412" s="312"/>
      <c r="K412" s="313"/>
      <c r="M412" s="308"/>
      <c r="N412" s="308"/>
      <c r="O412" s="133"/>
    </row>
    <row r="413" spans="1:15" ht="12.6" customHeight="1">
      <c r="A413" s="215"/>
      <c r="B413" s="189" t="s">
        <v>679</v>
      </c>
      <c r="C413" s="190"/>
      <c r="D413" s="191">
        <v>1</v>
      </c>
      <c r="E413" s="192">
        <v>235.22</v>
      </c>
      <c r="F413" s="192"/>
      <c r="G413" s="192"/>
      <c r="H413" s="192">
        <f t="shared" ref="H413:H419" si="37">D413*E413</f>
        <v>235.22</v>
      </c>
      <c r="I413" s="311"/>
      <c r="J413" s="312"/>
      <c r="K413" s="313"/>
      <c r="M413" s="308"/>
      <c r="N413" s="308"/>
      <c r="O413" s="133"/>
    </row>
    <row r="414" spans="1:15" ht="12.6" customHeight="1">
      <c r="A414" s="215"/>
      <c r="B414" s="189" t="s">
        <v>680</v>
      </c>
      <c r="C414" s="190"/>
      <c r="D414" s="191">
        <v>1</v>
      </c>
      <c r="E414" s="192">
        <v>209.2</v>
      </c>
      <c r="F414" s="192"/>
      <c r="G414" s="192"/>
      <c r="H414" s="192">
        <f t="shared" si="37"/>
        <v>209.2</v>
      </c>
      <c r="I414" s="311"/>
      <c r="J414" s="312"/>
      <c r="K414" s="313"/>
      <c r="M414" s="308"/>
      <c r="N414" s="308"/>
      <c r="O414" s="133"/>
    </row>
    <row r="415" spans="1:15" ht="12.6" customHeight="1">
      <c r="A415" s="215"/>
      <c r="B415" s="189" t="s">
        <v>681</v>
      </c>
      <c r="C415" s="190"/>
      <c r="D415" s="191">
        <v>1</v>
      </c>
      <c r="E415" s="192">
        <v>151.86000000000001</v>
      </c>
      <c r="F415" s="311"/>
      <c r="G415" s="311"/>
      <c r="H415" s="192">
        <f t="shared" si="37"/>
        <v>151.86000000000001</v>
      </c>
      <c r="I415" s="311"/>
      <c r="J415" s="312"/>
      <c r="K415" s="313"/>
      <c r="M415" s="308"/>
      <c r="N415" s="308"/>
      <c r="O415" s="133"/>
    </row>
    <row r="416" spans="1:15" ht="12.6" customHeight="1">
      <c r="A416" s="215"/>
      <c r="B416" s="189" t="s">
        <v>682</v>
      </c>
      <c r="C416" s="190"/>
      <c r="D416" s="191">
        <v>1</v>
      </c>
      <c r="E416" s="192">
        <v>152.53</v>
      </c>
      <c r="F416" s="311"/>
      <c r="G416" s="311"/>
      <c r="H416" s="192">
        <f t="shared" si="37"/>
        <v>152.53</v>
      </c>
      <c r="I416" s="311"/>
      <c r="J416" s="312"/>
      <c r="K416" s="313"/>
      <c r="M416" s="308"/>
      <c r="N416" s="308"/>
      <c r="O416" s="133"/>
    </row>
    <row r="417" spans="1:15" ht="12.6" customHeight="1">
      <c r="A417" s="215"/>
      <c r="B417" s="189" t="s">
        <v>683</v>
      </c>
      <c r="C417" s="190"/>
      <c r="D417" s="191">
        <v>1</v>
      </c>
      <c r="E417" s="192">
        <v>364.11</v>
      </c>
      <c r="F417" s="311"/>
      <c r="G417" s="311"/>
      <c r="H417" s="192">
        <f t="shared" si="37"/>
        <v>364.11</v>
      </c>
      <c r="I417" s="311"/>
      <c r="J417" s="312"/>
      <c r="K417" s="313"/>
      <c r="M417" s="308"/>
      <c r="N417" s="308"/>
      <c r="O417" s="133"/>
    </row>
    <row r="418" spans="1:15" ht="12.6" customHeight="1">
      <c r="A418" s="215"/>
      <c r="B418" s="189" t="s">
        <v>684</v>
      </c>
      <c r="C418" s="190"/>
      <c r="D418" s="191">
        <v>2</v>
      </c>
      <c r="E418" s="192">
        <v>313.51</v>
      </c>
      <c r="F418" s="311"/>
      <c r="G418" s="311"/>
      <c r="H418" s="192">
        <f t="shared" si="37"/>
        <v>627.02</v>
      </c>
      <c r="I418" s="311"/>
      <c r="J418" s="312"/>
      <c r="K418" s="313"/>
      <c r="M418" s="308"/>
      <c r="N418" s="308"/>
      <c r="O418" s="133"/>
    </row>
    <row r="419" spans="1:15" ht="12.6" customHeight="1" thickBot="1">
      <c r="A419" s="215"/>
      <c r="B419" s="189" t="s">
        <v>685</v>
      </c>
      <c r="C419" s="190"/>
      <c r="D419" s="191">
        <v>2</v>
      </c>
      <c r="E419" s="192">
        <v>361.98</v>
      </c>
      <c r="F419" s="311"/>
      <c r="G419" s="311"/>
      <c r="H419" s="192">
        <f t="shared" si="37"/>
        <v>723.96</v>
      </c>
      <c r="I419" s="311"/>
      <c r="J419" s="312"/>
      <c r="K419" s="313"/>
      <c r="M419" s="308"/>
      <c r="N419" s="308"/>
      <c r="O419" s="133"/>
    </row>
    <row r="420" spans="1:15" ht="12.6" customHeight="1" thickTop="1">
      <c r="A420" s="91"/>
      <c r="B420" s="90"/>
      <c r="C420" s="90"/>
      <c r="D420" s="90"/>
      <c r="E420" s="90"/>
      <c r="F420" s="90"/>
      <c r="G420" s="90"/>
      <c r="H420" s="90"/>
      <c r="I420" s="90"/>
      <c r="J420" s="90"/>
      <c r="K420" s="89"/>
      <c r="M420" s="134"/>
      <c r="N420" s="134"/>
      <c r="O420" s="133"/>
    </row>
    <row r="421" spans="1:15" ht="15" customHeight="1">
      <c r="A421" s="569" t="s">
        <v>29</v>
      </c>
      <c r="B421" s="570"/>
      <c r="C421" s="570"/>
      <c r="D421" s="570"/>
      <c r="E421" s="570"/>
      <c r="F421" s="570"/>
      <c r="G421" s="570"/>
      <c r="H421" s="570"/>
      <c r="I421" s="570"/>
      <c r="J421" s="570"/>
      <c r="K421" s="571"/>
      <c r="M421" s="134"/>
      <c r="N421" s="134"/>
      <c r="O421" s="133"/>
    </row>
    <row r="422" spans="1:15" ht="18" customHeight="1">
      <c r="A422" s="572" t="s">
        <v>69</v>
      </c>
      <c r="B422" s="573"/>
      <c r="C422" s="573"/>
      <c r="D422" s="573"/>
      <c r="E422" s="573"/>
      <c r="F422" s="573"/>
      <c r="G422" s="573"/>
      <c r="H422" s="573"/>
      <c r="I422" s="573"/>
      <c r="J422" s="573"/>
      <c r="K422" s="574"/>
      <c r="M422" s="134"/>
      <c r="N422" s="134"/>
      <c r="O422" s="133"/>
    </row>
    <row r="423" spans="1:15" ht="10.5" customHeight="1">
      <c r="A423" s="88"/>
      <c r="B423" s="85"/>
      <c r="C423" s="85"/>
      <c r="D423" s="85"/>
      <c r="E423" s="85"/>
      <c r="F423" s="85"/>
      <c r="G423" s="85"/>
      <c r="H423" s="85"/>
      <c r="I423" s="85"/>
      <c r="J423" s="85"/>
      <c r="K423" s="87"/>
      <c r="M423" s="134"/>
      <c r="N423" s="134"/>
      <c r="O423" s="133"/>
    </row>
    <row r="424" spans="1:15" ht="9" customHeight="1">
      <c r="A424" s="55"/>
      <c r="B424" s="86"/>
      <c r="C424" s="86"/>
      <c r="D424" s="86"/>
      <c r="E424" s="86"/>
      <c r="F424" s="86"/>
      <c r="G424" s="86"/>
      <c r="H424" s="86"/>
      <c r="I424" s="86"/>
      <c r="J424" s="86"/>
      <c r="K424" s="81"/>
      <c r="M424" s="134"/>
      <c r="N424" s="134"/>
      <c r="O424" s="133"/>
    </row>
    <row r="425" spans="1:15" ht="12.6" customHeight="1">
      <c r="A425" s="575" t="s">
        <v>68</v>
      </c>
      <c r="B425" s="576"/>
      <c r="C425" s="576"/>
      <c r="D425" s="576"/>
      <c r="E425" s="576"/>
      <c r="F425" s="576"/>
      <c r="G425" s="576"/>
      <c r="H425" s="576"/>
      <c r="I425" s="576"/>
      <c r="J425" s="576"/>
      <c r="K425" s="577"/>
      <c r="M425" s="134"/>
      <c r="N425" s="134"/>
      <c r="O425" s="133"/>
    </row>
    <row r="426" spans="1:15" ht="8.25" customHeight="1">
      <c r="A426" s="55"/>
      <c r="B426" s="86"/>
      <c r="C426" s="86"/>
      <c r="D426" s="86"/>
      <c r="E426" s="86"/>
      <c r="F426" s="86"/>
      <c r="G426" s="86"/>
      <c r="H426" s="86"/>
      <c r="I426" s="86"/>
      <c r="J426" s="85"/>
      <c r="K426" s="81"/>
      <c r="M426" s="134"/>
      <c r="N426" s="134"/>
      <c r="O426" s="133"/>
    </row>
    <row r="427" spans="1:15" ht="12.6" customHeight="1">
      <c r="A427" s="84"/>
      <c r="B427" s="83" t="s">
        <v>11</v>
      </c>
      <c r="C427" s="578" t="s">
        <v>361</v>
      </c>
      <c r="D427" s="579"/>
      <c r="E427" s="579"/>
      <c r="F427" s="579"/>
      <c r="G427" s="579"/>
      <c r="H427" s="579"/>
      <c r="I427" s="579"/>
      <c r="J427" s="580"/>
      <c r="K427" s="81"/>
      <c r="M427" s="134"/>
      <c r="N427" s="134"/>
      <c r="O427" s="133"/>
    </row>
    <row r="428" spans="1:15" ht="9" customHeight="1">
      <c r="A428" s="80"/>
      <c r="K428" s="81"/>
      <c r="M428" s="134"/>
      <c r="N428" s="134"/>
      <c r="O428" s="133"/>
    </row>
    <row r="429" spans="1:15" ht="12.6" customHeight="1">
      <c r="A429" s="80"/>
      <c r="B429" s="82" t="s">
        <v>67</v>
      </c>
      <c r="C429" s="581" t="s">
        <v>66</v>
      </c>
      <c r="D429" s="582"/>
      <c r="E429" s="582"/>
      <c r="F429" s="582"/>
      <c r="G429" s="582"/>
      <c r="H429" s="582"/>
      <c r="I429" s="582"/>
      <c r="J429" s="583"/>
      <c r="K429" s="81"/>
      <c r="M429" s="134"/>
      <c r="N429" s="134"/>
      <c r="O429" s="133"/>
    </row>
    <row r="430" spans="1:15" ht="9.75" customHeight="1">
      <c r="A430" s="80"/>
      <c r="B430" s="79"/>
      <c r="D430" s="78"/>
      <c r="E430" s="78"/>
      <c r="F430" s="78"/>
      <c r="G430" s="78"/>
      <c r="H430" s="78"/>
      <c r="I430" s="78"/>
      <c r="K430" s="77"/>
      <c r="M430" s="134"/>
      <c r="N430" s="134"/>
      <c r="O430" s="133"/>
    </row>
    <row r="431" spans="1:15" ht="12.6" customHeight="1">
      <c r="A431" s="584" t="s">
        <v>84</v>
      </c>
      <c r="B431" s="585" t="s">
        <v>83</v>
      </c>
      <c r="C431" s="585" t="s">
        <v>82</v>
      </c>
      <c r="D431" s="585" t="s">
        <v>81</v>
      </c>
      <c r="E431" s="564" t="s">
        <v>80</v>
      </c>
      <c r="F431" s="564"/>
      <c r="G431" s="564"/>
      <c r="H431" s="564" t="s">
        <v>79</v>
      </c>
      <c r="I431" s="564"/>
      <c r="J431" s="564"/>
      <c r="K431" s="565" t="s">
        <v>58</v>
      </c>
      <c r="M431" s="134"/>
      <c r="N431" s="134"/>
      <c r="O431" s="133"/>
    </row>
    <row r="432" spans="1:15" ht="12.6" customHeight="1">
      <c r="A432" s="584"/>
      <c r="B432" s="585"/>
      <c r="C432" s="585"/>
      <c r="D432" s="585"/>
      <c r="E432" s="125" t="s">
        <v>78</v>
      </c>
      <c r="F432" s="125" t="s">
        <v>77</v>
      </c>
      <c r="G432" s="125" t="s">
        <v>76</v>
      </c>
      <c r="H432" s="125" t="s">
        <v>75</v>
      </c>
      <c r="I432" s="125" t="s">
        <v>74</v>
      </c>
      <c r="J432" s="125" t="s">
        <v>73</v>
      </c>
      <c r="K432" s="565"/>
      <c r="M432" s="134"/>
      <c r="N432" s="134"/>
      <c r="O432" s="133"/>
    </row>
    <row r="433" spans="1:15" ht="12.6" customHeight="1">
      <c r="A433" s="584"/>
      <c r="B433" s="585"/>
      <c r="C433" s="585"/>
      <c r="D433" s="585"/>
      <c r="E433" s="125" t="s">
        <v>70</v>
      </c>
      <c r="F433" s="125" t="s">
        <v>70</v>
      </c>
      <c r="G433" s="125" t="s">
        <v>70</v>
      </c>
      <c r="H433" s="125" t="s">
        <v>72</v>
      </c>
      <c r="I433" s="125" t="s">
        <v>71</v>
      </c>
      <c r="J433" s="125" t="s">
        <v>70</v>
      </c>
      <c r="K433" s="565"/>
      <c r="M433" s="134"/>
      <c r="N433" s="134"/>
      <c r="O433" s="133"/>
    </row>
    <row r="434" spans="1:15" ht="12.2" customHeight="1">
      <c r="A434" s="212"/>
      <c r="B434" s="179" t="s">
        <v>362</v>
      </c>
      <c r="C434" s="180"/>
      <c r="D434" s="181"/>
      <c r="E434" s="182"/>
      <c r="F434" s="182"/>
      <c r="G434" s="182"/>
      <c r="H434" s="182"/>
      <c r="I434" s="182"/>
      <c r="J434" s="213"/>
      <c r="K434" s="214"/>
      <c r="M434" s="134"/>
      <c r="N434" s="134"/>
      <c r="O434" s="133"/>
    </row>
    <row r="435" spans="1:15" ht="12.2" customHeight="1">
      <c r="A435" s="215"/>
      <c r="B435" s="184" t="s">
        <v>686</v>
      </c>
      <c r="C435" s="185"/>
      <c r="D435" s="186">
        <v>4</v>
      </c>
      <c r="E435" s="187">
        <v>447.54</v>
      </c>
      <c r="F435" s="187"/>
      <c r="G435" s="187"/>
      <c r="H435" s="187">
        <f t="shared" si="36"/>
        <v>1790.16</v>
      </c>
      <c r="I435" s="187"/>
      <c r="J435" s="206"/>
      <c r="K435" s="207"/>
      <c r="M435" s="134"/>
      <c r="N435" s="134"/>
      <c r="O435" s="133"/>
    </row>
    <row r="436" spans="1:15" ht="12.2" customHeight="1">
      <c r="A436" s="215"/>
      <c r="B436" s="216" t="s">
        <v>687</v>
      </c>
      <c r="C436" s="190"/>
      <c r="D436" s="191">
        <v>1</v>
      </c>
      <c r="E436" s="192">
        <v>458.35</v>
      </c>
      <c r="F436" s="192"/>
      <c r="G436" s="192"/>
      <c r="H436" s="192">
        <f t="shared" si="36"/>
        <v>458.35</v>
      </c>
      <c r="I436" s="192"/>
      <c r="J436" s="208"/>
      <c r="K436" s="209"/>
      <c r="M436" s="314"/>
      <c r="N436" s="314"/>
      <c r="O436" s="133"/>
    </row>
    <row r="437" spans="1:15" ht="12.2" customHeight="1">
      <c r="A437" s="215"/>
      <c r="B437" s="189" t="s">
        <v>688</v>
      </c>
      <c r="C437" s="309"/>
      <c r="D437" s="310">
        <v>2</v>
      </c>
      <c r="E437" s="311">
        <v>486.09</v>
      </c>
      <c r="F437" s="311"/>
      <c r="G437" s="311"/>
      <c r="H437" s="192">
        <f t="shared" ref="H437:H455" si="38">D437*E437</f>
        <v>972.18</v>
      </c>
      <c r="I437" s="311"/>
      <c r="J437" s="312"/>
      <c r="K437" s="313"/>
      <c r="M437" s="314"/>
      <c r="N437" s="314"/>
      <c r="O437" s="133"/>
    </row>
    <row r="438" spans="1:15" ht="12.2" customHeight="1">
      <c r="A438" s="215"/>
      <c r="B438" s="189" t="s">
        <v>689</v>
      </c>
      <c r="C438" s="309"/>
      <c r="D438" s="310">
        <v>3</v>
      </c>
      <c r="E438" s="311">
        <v>477.01</v>
      </c>
      <c r="F438" s="311"/>
      <c r="G438" s="311"/>
      <c r="H438" s="192">
        <f t="shared" si="38"/>
        <v>1431.03</v>
      </c>
      <c r="I438" s="311"/>
      <c r="J438" s="312"/>
      <c r="K438" s="313"/>
      <c r="M438" s="314"/>
      <c r="N438" s="314"/>
      <c r="O438" s="133"/>
    </row>
    <row r="439" spans="1:15" ht="12.2" customHeight="1">
      <c r="A439" s="215"/>
      <c r="B439" s="189" t="s">
        <v>690</v>
      </c>
      <c r="C439" s="309"/>
      <c r="D439" s="310">
        <v>1</v>
      </c>
      <c r="E439" s="311">
        <v>495.05</v>
      </c>
      <c r="F439" s="311"/>
      <c r="G439" s="311"/>
      <c r="H439" s="311">
        <f t="shared" si="38"/>
        <v>495.05</v>
      </c>
      <c r="I439" s="311"/>
      <c r="J439" s="312"/>
      <c r="K439" s="313"/>
      <c r="M439" s="314"/>
      <c r="N439" s="314"/>
      <c r="O439" s="133"/>
    </row>
    <row r="440" spans="1:15" ht="12.2" customHeight="1">
      <c r="A440" s="215"/>
      <c r="B440" s="189" t="s">
        <v>691</v>
      </c>
      <c r="C440" s="309"/>
      <c r="D440" s="310">
        <v>2</v>
      </c>
      <c r="E440" s="311">
        <v>450.02</v>
      </c>
      <c r="F440" s="311"/>
      <c r="G440" s="311"/>
      <c r="H440" s="311">
        <f t="shared" si="38"/>
        <v>900.04</v>
      </c>
      <c r="I440" s="311"/>
      <c r="J440" s="312"/>
      <c r="K440" s="313"/>
      <c r="M440" s="314"/>
      <c r="N440" s="314"/>
      <c r="O440" s="133"/>
    </row>
    <row r="441" spans="1:15" ht="12.2" customHeight="1">
      <c r="A441" s="215"/>
      <c r="B441" s="189" t="s">
        <v>692</v>
      </c>
      <c r="C441" s="309"/>
      <c r="D441" s="310">
        <v>1</v>
      </c>
      <c r="E441" s="311">
        <v>346.04</v>
      </c>
      <c r="F441" s="311"/>
      <c r="G441" s="311"/>
      <c r="H441" s="311">
        <f t="shared" si="38"/>
        <v>346.04</v>
      </c>
      <c r="I441" s="311"/>
      <c r="J441" s="312"/>
      <c r="K441" s="313"/>
      <c r="M441" s="314"/>
      <c r="N441" s="314"/>
      <c r="O441" s="133"/>
    </row>
    <row r="442" spans="1:15" ht="12.2" customHeight="1">
      <c r="A442" s="215"/>
      <c r="B442" s="189" t="s">
        <v>693</v>
      </c>
      <c r="C442" s="309"/>
      <c r="D442" s="310">
        <v>1</v>
      </c>
      <c r="E442" s="311">
        <v>357.09</v>
      </c>
      <c r="F442" s="311"/>
      <c r="G442" s="311"/>
      <c r="H442" s="311">
        <f t="shared" si="38"/>
        <v>357.09</v>
      </c>
      <c r="I442" s="311"/>
      <c r="J442" s="312"/>
      <c r="K442" s="313"/>
      <c r="M442" s="314"/>
      <c r="N442" s="314"/>
      <c r="O442" s="133"/>
    </row>
    <row r="443" spans="1:15" ht="12.2" customHeight="1">
      <c r="A443" s="215"/>
      <c r="B443" s="189" t="s">
        <v>694</v>
      </c>
      <c r="C443" s="309"/>
      <c r="D443" s="310">
        <v>1</v>
      </c>
      <c r="E443" s="311">
        <v>344.14</v>
      </c>
      <c r="F443" s="311"/>
      <c r="G443" s="311"/>
      <c r="H443" s="311">
        <f t="shared" si="38"/>
        <v>344.14</v>
      </c>
      <c r="I443" s="311"/>
      <c r="J443" s="312"/>
      <c r="K443" s="313"/>
      <c r="M443" s="314"/>
      <c r="N443" s="314"/>
      <c r="O443" s="133"/>
    </row>
    <row r="444" spans="1:15" ht="12.2" customHeight="1">
      <c r="A444" s="215"/>
      <c r="B444" s="189" t="s">
        <v>695</v>
      </c>
      <c r="C444" s="309"/>
      <c r="D444" s="310">
        <v>1</v>
      </c>
      <c r="E444" s="311">
        <v>329.46</v>
      </c>
      <c r="F444" s="311"/>
      <c r="G444" s="311"/>
      <c r="H444" s="311">
        <f t="shared" si="38"/>
        <v>329.46</v>
      </c>
      <c r="I444" s="311"/>
      <c r="J444" s="312"/>
      <c r="K444" s="313"/>
      <c r="M444" s="314"/>
      <c r="N444" s="314"/>
      <c r="O444" s="133"/>
    </row>
    <row r="445" spans="1:15" ht="12.2" customHeight="1">
      <c r="A445" s="215"/>
      <c r="B445" s="189" t="s">
        <v>696</v>
      </c>
      <c r="C445" s="309"/>
      <c r="D445" s="310">
        <v>1</v>
      </c>
      <c r="E445" s="311">
        <v>333.25</v>
      </c>
      <c r="F445" s="311"/>
      <c r="G445" s="311"/>
      <c r="H445" s="311">
        <f t="shared" si="38"/>
        <v>333.25</v>
      </c>
      <c r="I445" s="311"/>
      <c r="J445" s="312"/>
      <c r="K445" s="313"/>
      <c r="M445" s="314"/>
      <c r="N445" s="314"/>
      <c r="O445" s="133"/>
    </row>
    <row r="446" spans="1:15" ht="12.2" customHeight="1">
      <c r="A446" s="215"/>
      <c r="B446" s="189" t="s">
        <v>697</v>
      </c>
      <c r="C446" s="309"/>
      <c r="D446" s="310">
        <v>1</v>
      </c>
      <c r="E446" s="311">
        <v>440.66</v>
      </c>
      <c r="F446" s="311"/>
      <c r="G446" s="311"/>
      <c r="H446" s="311">
        <f t="shared" si="38"/>
        <v>440.66</v>
      </c>
      <c r="I446" s="311"/>
      <c r="J446" s="312"/>
      <c r="K446" s="313"/>
      <c r="M446" s="314"/>
      <c r="N446" s="314"/>
      <c r="O446" s="133"/>
    </row>
    <row r="447" spans="1:15" ht="12.2" customHeight="1">
      <c r="A447" s="215"/>
      <c r="B447" s="189" t="s">
        <v>698</v>
      </c>
      <c r="C447" s="309"/>
      <c r="D447" s="310">
        <v>1</v>
      </c>
      <c r="E447" s="311">
        <v>436.01</v>
      </c>
      <c r="F447" s="311"/>
      <c r="G447" s="311"/>
      <c r="H447" s="311">
        <f t="shared" si="38"/>
        <v>436.01</v>
      </c>
      <c r="I447" s="311"/>
      <c r="J447" s="312"/>
      <c r="K447" s="313"/>
      <c r="M447" s="314"/>
      <c r="N447" s="314"/>
      <c r="O447" s="133"/>
    </row>
    <row r="448" spans="1:15" ht="12.2" customHeight="1">
      <c r="A448" s="215"/>
      <c r="B448" s="189" t="s">
        <v>699</v>
      </c>
      <c r="C448" s="309"/>
      <c r="D448" s="310">
        <v>1</v>
      </c>
      <c r="E448" s="311">
        <v>411.93</v>
      </c>
      <c r="F448" s="311"/>
      <c r="G448" s="311"/>
      <c r="H448" s="311">
        <f t="shared" si="38"/>
        <v>411.93</v>
      </c>
      <c r="I448" s="311"/>
      <c r="J448" s="312"/>
      <c r="K448" s="313"/>
      <c r="M448" s="314"/>
      <c r="N448" s="314"/>
      <c r="O448" s="133"/>
    </row>
    <row r="449" spans="1:15" ht="12.2" customHeight="1">
      <c r="A449" s="215"/>
      <c r="B449" s="189" t="s">
        <v>700</v>
      </c>
      <c r="C449" s="309"/>
      <c r="D449" s="310">
        <v>2</v>
      </c>
      <c r="E449" s="311">
        <v>212.19</v>
      </c>
      <c r="F449" s="311"/>
      <c r="G449" s="311"/>
      <c r="H449" s="311">
        <f t="shared" si="38"/>
        <v>424.38</v>
      </c>
      <c r="I449" s="311"/>
      <c r="J449" s="312"/>
      <c r="K449" s="313"/>
      <c r="M449" s="314"/>
      <c r="N449" s="314"/>
      <c r="O449" s="133"/>
    </row>
    <row r="450" spans="1:15" ht="12.2" customHeight="1">
      <c r="A450" s="215"/>
      <c r="B450" s="189" t="s">
        <v>702</v>
      </c>
      <c r="C450" s="309"/>
      <c r="D450" s="310">
        <v>2</v>
      </c>
      <c r="E450" s="311">
        <v>140.38999999999999</v>
      </c>
      <c r="F450" s="311"/>
      <c r="G450" s="311"/>
      <c r="H450" s="311">
        <f t="shared" si="38"/>
        <v>280.77999999999997</v>
      </c>
      <c r="I450" s="311"/>
      <c r="J450" s="312"/>
      <c r="K450" s="313"/>
      <c r="M450" s="314"/>
      <c r="N450" s="314"/>
      <c r="O450" s="133"/>
    </row>
    <row r="451" spans="1:15" ht="12.2" customHeight="1">
      <c r="A451" s="215"/>
      <c r="B451" s="189" t="s">
        <v>703</v>
      </c>
      <c r="C451" s="309"/>
      <c r="D451" s="310">
        <v>2</v>
      </c>
      <c r="E451" s="311">
        <v>154.13</v>
      </c>
      <c r="F451" s="311"/>
      <c r="G451" s="311"/>
      <c r="H451" s="311">
        <f t="shared" si="38"/>
        <v>308.26</v>
      </c>
      <c r="I451" s="311"/>
      <c r="J451" s="312"/>
      <c r="K451" s="313"/>
      <c r="M451" s="314"/>
      <c r="N451" s="314"/>
      <c r="O451" s="133"/>
    </row>
    <row r="452" spans="1:15" ht="12.2" customHeight="1">
      <c r="A452" s="188"/>
      <c r="B452" s="189" t="s">
        <v>704</v>
      </c>
      <c r="C452" s="190"/>
      <c r="D452" s="191">
        <v>1</v>
      </c>
      <c r="E452" s="192">
        <v>160.29</v>
      </c>
      <c r="F452" s="192"/>
      <c r="G452" s="192"/>
      <c r="H452" s="192">
        <f t="shared" si="38"/>
        <v>160.29</v>
      </c>
      <c r="I452" s="192"/>
      <c r="J452" s="208"/>
      <c r="K452" s="209"/>
      <c r="M452" s="134"/>
      <c r="N452" s="134"/>
      <c r="O452" s="133"/>
    </row>
    <row r="453" spans="1:15" ht="12.2" customHeight="1">
      <c r="A453" s="188"/>
      <c r="B453" s="189" t="s">
        <v>705</v>
      </c>
      <c r="C453" s="190"/>
      <c r="D453" s="191">
        <v>1</v>
      </c>
      <c r="E453" s="192">
        <v>132.81</v>
      </c>
      <c r="F453" s="192"/>
      <c r="G453" s="192"/>
      <c r="H453" s="192">
        <f t="shared" si="38"/>
        <v>132.81</v>
      </c>
      <c r="I453" s="192"/>
      <c r="J453" s="208"/>
      <c r="K453" s="209"/>
      <c r="M453" s="134"/>
      <c r="N453" s="134"/>
      <c r="O453" s="133"/>
    </row>
    <row r="454" spans="1:15" ht="12.2" customHeight="1">
      <c r="A454" s="188"/>
      <c r="B454" s="189" t="s">
        <v>701</v>
      </c>
      <c r="C454" s="190"/>
      <c r="D454" s="191">
        <v>1</v>
      </c>
      <c r="E454" s="192">
        <v>199.33</v>
      </c>
      <c r="F454" s="192"/>
      <c r="G454" s="192"/>
      <c r="H454" s="192">
        <f t="shared" si="38"/>
        <v>199.33</v>
      </c>
      <c r="I454" s="192"/>
      <c r="J454" s="208"/>
      <c r="K454" s="209"/>
      <c r="M454" s="134"/>
      <c r="N454" s="134"/>
      <c r="O454" s="133"/>
    </row>
    <row r="455" spans="1:15" ht="12.2" customHeight="1">
      <c r="A455" s="188"/>
      <c r="B455" s="189" t="s">
        <v>706</v>
      </c>
      <c r="C455" s="190"/>
      <c r="D455" s="191">
        <v>1</v>
      </c>
      <c r="E455" s="192">
        <v>169.72</v>
      </c>
      <c r="F455" s="192"/>
      <c r="G455" s="192"/>
      <c r="H455" s="192">
        <f t="shared" si="38"/>
        <v>169.72</v>
      </c>
      <c r="I455" s="192"/>
      <c r="J455" s="208"/>
      <c r="K455" s="209"/>
      <c r="M455" s="134"/>
      <c r="N455" s="134"/>
      <c r="O455" s="133"/>
    </row>
    <row r="456" spans="1:15" ht="12.2" customHeight="1">
      <c r="A456" s="188"/>
      <c r="B456" s="189" t="s">
        <v>707</v>
      </c>
      <c r="C456" s="190"/>
      <c r="D456" s="191">
        <v>1</v>
      </c>
      <c r="E456" s="192">
        <v>224</v>
      </c>
      <c r="F456" s="192"/>
      <c r="G456" s="192"/>
      <c r="H456" s="192">
        <f t="shared" ref="H456:H457" si="39">D456*E456</f>
        <v>224</v>
      </c>
      <c r="I456" s="192"/>
      <c r="J456" s="208"/>
      <c r="K456" s="209"/>
      <c r="M456" s="134"/>
      <c r="N456" s="134"/>
      <c r="O456" s="133"/>
    </row>
    <row r="457" spans="1:15" ht="12.2" customHeight="1">
      <c r="A457" s="188"/>
      <c r="B457" s="216" t="s">
        <v>708</v>
      </c>
      <c r="C457" s="190"/>
      <c r="D457" s="191">
        <v>1</v>
      </c>
      <c r="E457" s="192">
        <v>228.82</v>
      </c>
      <c r="F457" s="192"/>
      <c r="G457" s="192"/>
      <c r="H457" s="192">
        <f t="shared" si="39"/>
        <v>228.82</v>
      </c>
      <c r="I457" s="192"/>
      <c r="J457" s="208"/>
      <c r="K457" s="209"/>
      <c r="M457" s="134"/>
      <c r="N457" s="134"/>
      <c r="O457" s="133"/>
    </row>
    <row r="458" spans="1:15" ht="12.2" customHeight="1">
      <c r="A458" s="178"/>
      <c r="B458" s="216" t="s">
        <v>709</v>
      </c>
      <c r="C458" s="217"/>
      <c r="D458" s="218">
        <v>1</v>
      </c>
      <c r="E458" s="219">
        <v>221.4</v>
      </c>
      <c r="F458" s="219"/>
      <c r="G458" s="219"/>
      <c r="H458" s="219">
        <f t="shared" si="36"/>
        <v>221.4</v>
      </c>
      <c r="I458" s="219"/>
      <c r="J458" s="220"/>
      <c r="K458" s="221"/>
      <c r="M458" s="134"/>
      <c r="N458" s="134"/>
      <c r="O458" s="133"/>
    </row>
    <row r="459" spans="1:15" ht="12.2" customHeight="1">
      <c r="A459" s="212"/>
      <c r="B459" s="227" t="s">
        <v>427</v>
      </c>
      <c r="C459" s="228"/>
      <c r="D459" s="229"/>
      <c r="E459" s="230"/>
      <c r="F459" s="230"/>
      <c r="G459" s="230"/>
      <c r="H459" s="230"/>
      <c r="I459" s="61"/>
      <c r="J459" s="121"/>
      <c r="K459" s="120"/>
      <c r="M459" s="134"/>
      <c r="N459" s="134"/>
      <c r="O459" s="133"/>
    </row>
    <row r="460" spans="1:15" ht="12.2" customHeight="1">
      <c r="A460" s="183"/>
      <c r="B460" s="316" t="s">
        <v>710</v>
      </c>
      <c r="C460" s="185"/>
      <c r="D460" s="186">
        <v>1</v>
      </c>
      <c r="E460" s="187">
        <v>77.16</v>
      </c>
      <c r="F460" s="187"/>
      <c r="G460" s="187"/>
      <c r="H460" s="187">
        <f t="shared" ref="H460:H466" si="40">D460*E460</f>
        <v>77.16</v>
      </c>
      <c r="I460" s="72"/>
      <c r="J460" s="124"/>
      <c r="K460" s="107"/>
      <c r="M460" s="134"/>
      <c r="N460" s="134"/>
      <c r="O460" s="133"/>
    </row>
    <row r="461" spans="1:15" ht="12.2" customHeight="1">
      <c r="A461" s="215"/>
      <c r="B461" s="189" t="s">
        <v>711</v>
      </c>
      <c r="C461" s="309"/>
      <c r="D461" s="310">
        <v>1</v>
      </c>
      <c r="E461" s="311">
        <v>64.52</v>
      </c>
      <c r="F461" s="311"/>
      <c r="G461" s="311"/>
      <c r="H461" s="311">
        <f t="shared" si="40"/>
        <v>64.52</v>
      </c>
      <c r="I461" s="109"/>
      <c r="J461" s="135"/>
      <c r="K461" s="130"/>
      <c r="M461" s="315"/>
      <c r="N461" s="315"/>
      <c r="O461" s="133"/>
    </row>
    <row r="462" spans="1:15" ht="12.2" customHeight="1">
      <c r="A462" s="215"/>
      <c r="B462" s="189" t="s">
        <v>712</v>
      </c>
      <c r="C462" s="309"/>
      <c r="D462" s="310">
        <v>2</v>
      </c>
      <c r="E462" s="311">
        <v>87.87</v>
      </c>
      <c r="F462" s="311"/>
      <c r="G462" s="311"/>
      <c r="H462" s="311">
        <f t="shared" si="40"/>
        <v>175.74</v>
      </c>
      <c r="I462" s="109"/>
      <c r="J462" s="135"/>
      <c r="K462" s="130"/>
      <c r="M462" s="315"/>
      <c r="N462" s="315"/>
      <c r="O462" s="133"/>
    </row>
    <row r="463" spans="1:15" ht="12.2" customHeight="1">
      <c r="A463" s="215"/>
      <c r="B463" s="189" t="s">
        <v>713</v>
      </c>
      <c r="C463" s="309"/>
      <c r="D463" s="310">
        <v>1</v>
      </c>
      <c r="E463" s="311">
        <v>73.97</v>
      </c>
      <c r="F463" s="311"/>
      <c r="G463" s="311"/>
      <c r="H463" s="311">
        <f t="shared" si="40"/>
        <v>73.97</v>
      </c>
      <c r="I463" s="109"/>
      <c r="J463" s="135"/>
      <c r="K463" s="130"/>
      <c r="M463" s="315"/>
      <c r="N463" s="315"/>
      <c r="O463" s="133"/>
    </row>
    <row r="464" spans="1:15" ht="12.2" customHeight="1">
      <c r="A464" s="215"/>
      <c r="B464" s="189" t="s">
        <v>714</v>
      </c>
      <c r="C464" s="309"/>
      <c r="D464" s="310">
        <v>1</v>
      </c>
      <c r="E464" s="311">
        <v>72.41</v>
      </c>
      <c r="F464" s="311"/>
      <c r="G464" s="311"/>
      <c r="H464" s="311">
        <f t="shared" si="40"/>
        <v>72.41</v>
      </c>
      <c r="I464" s="109"/>
      <c r="J464" s="135"/>
      <c r="K464" s="130"/>
      <c r="M464" s="315"/>
      <c r="N464" s="315"/>
      <c r="O464" s="133"/>
    </row>
    <row r="465" spans="1:15" ht="12.2" customHeight="1">
      <c r="A465" s="215"/>
      <c r="B465" s="189" t="s">
        <v>715</v>
      </c>
      <c r="C465" s="309"/>
      <c r="D465" s="310">
        <v>1</v>
      </c>
      <c r="E465" s="311">
        <v>135.84</v>
      </c>
      <c r="F465" s="311"/>
      <c r="G465" s="311"/>
      <c r="H465" s="311">
        <f t="shared" si="40"/>
        <v>135.84</v>
      </c>
      <c r="I465" s="109"/>
      <c r="J465" s="135"/>
      <c r="K465" s="130"/>
      <c r="M465" s="315"/>
      <c r="N465" s="315"/>
      <c r="O465" s="133"/>
    </row>
    <row r="466" spans="1:15" ht="12.2" customHeight="1">
      <c r="A466" s="215"/>
      <c r="B466" s="189" t="s">
        <v>716</v>
      </c>
      <c r="C466" s="309"/>
      <c r="D466" s="310">
        <v>1</v>
      </c>
      <c r="E466" s="311">
        <v>135.49</v>
      </c>
      <c r="F466" s="311"/>
      <c r="G466" s="311"/>
      <c r="H466" s="311">
        <f t="shared" si="40"/>
        <v>135.49</v>
      </c>
      <c r="I466" s="109"/>
      <c r="J466" s="135"/>
      <c r="K466" s="130"/>
      <c r="M466" s="315"/>
      <c r="N466" s="315"/>
      <c r="O466" s="133"/>
    </row>
    <row r="467" spans="1:15" ht="12.2" customHeight="1">
      <c r="A467" s="215"/>
      <c r="B467" s="189" t="s">
        <v>717</v>
      </c>
      <c r="C467" s="309"/>
      <c r="D467" s="310">
        <v>1</v>
      </c>
      <c r="E467" s="311">
        <v>135.84</v>
      </c>
      <c r="F467" s="311"/>
      <c r="G467" s="311"/>
      <c r="H467" s="311">
        <f t="shared" ref="H467:H476" si="41">D467*E467</f>
        <v>135.84</v>
      </c>
      <c r="I467" s="109"/>
      <c r="J467" s="135"/>
      <c r="K467" s="130"/>
      <c r="M467" s="315"/>
      <c r="N467" s="315"/>
      <c r="O467" s="133"/>
    </row>
    <row r="468" spans="1:15" ht="12.2" customHeight="1">
      <c r="A468" s="215"/>
      <c r="B468" s="189" t="s">
        <v>718</v>
      </c>
      <c r="C468" s="309"/>
      <c r="D468" s="310">
        <v>1</v>
      </c>
      <c r="E468" s="311">
        <v>191.82</v>
      </c>
      <c r="F468" s="311"/>
      <c r="G468" s="311"/>
      <c r="H468" s="311">
        <f t="shared" si="41"/>
        <v>191.82</v>
      </c>
      <c r="I468" s="109"/>
      <c r="J468" s="135"/>
      <c r="K468" s="130"/>
      <c r="M468" s="315"/>
      <c r="N468" s="315"/>
      <c r="O468" s="133"/>
    </row>
    <row r="469" spans="1:15" ht="12.2" customHeight="1">
      <c r="A469" s="215"/>
      <c r="B469" s="189" t="s">
        <v>719</v>
      </c>
      <c r="C469" s="309"/>
      <c r="D469" s="310">
        <v>1</v>
      </c>
      <c r="E469" s="311">
        <v>172.88</v>
      </c>
      <c r="F469" s="311"/>
      <c r="G469" s="311"/>
      <c r="H469" s="311">
        <f t="shared" si="41"/>
        <v>172.88</v>
      </c>
      <c r="I469" s="109"/>
      <c r="J469" s="135"/>
      <c r="K469" s="130"/>
      <c r="M469" s="315"/>
      <c r="N469" s="315"/>
      <c r="O469" s="133"/>
    </row>
    <row r="470" spans="1:15" ht="12.2" customHeight="1">
      <c r="A470" s="215"/>
      <c r="B470" s="189" t="s">
        <v>720</v>
      </c>
      <c r="C470" s="309"/>
      <c r="D470" s="310">
        <v>1</v>
      </c>
      <c r="E470" s="311">
        <v>168.14</v>
      </c>
      <c r="F470" s="311"/>
      <c r="G470" s="311"/>
      <c r="H470" s="311">
        <f t="shared" si="41"/>
        <v>168.14</v>
      </c>
      <c r="I470" s="109"/>
      <c r="J470" s="135"/>
      <c r="K470" s="130"/>
      <c r="M470" s="315"/>
      <c r="N470" s="315"/>
      <c r="O470" s="133"/>
    </row>
    <row r="471" spans="1:15" ht="12.2" customHeight="1">
      <c r="A471" s="215"/>
      <c r="B471" s="189" t="s">
        <v>721</v>
      </c>
      <c r="C471" s="309"/>
      <c r="D471" s="310">
        <v>1</v>
      </c>
      <c r="E471" s="311">
        <v>88.53</v>
      </c>
      <c r="F471" s="311"/>
      <c r="G471" s="311"/>
      <c r="H471" s="311">
        <f t="shared" si="41"/>
        <v>88.53</v>
      </c>
      <c r="I471" s="109"/>
      <c r="J471" s="135"/>
      <c r="K471" s="130"/>
      <c r="M471" s="315"/>
      <c r="N471" s="315"/>
      <c r="O471" s="133"/>
    </row>
    <row r="472" spans="1:15" ht="12.2" customHeight="1">
      <c r="A472" s="215"/>
      <c r="B472" s="189" t="s">
        <v>722</v>
      </c>
      <c r="C472" s="309"/>
      <c r="D472" s="310">
        <v>3</v>
      </c>
      <c r="E472" s="311">
        <v>87.66</v>
      </c>
      <c r="F472" s="311"/>
      <c r="G472" s="311"/>
      <c r="H472" s="311">
        <f t="shared" si="41"/>
        <v>262.98</v>
      </c>
      <c r="I472" s="109"/>
      <c r="J472" s="135"/>
      <c r="K472" s="130"/>
      <c r="M472" s="315"/>
      <c r="N472" s="315"/>
      <c r="O472" s="133"/>
    </row>
    <row r="473" spans="1:15" ht="12.2" customHeight="1">
      <c r="A473" s="215"/>
      <c r="B473" s="189" t="s">
        <v>723</v>
      </c>
      <c r="C473" s="309"/>
      <c r="D473" s="310">
        <v>1</v>
      </c>
      <c r="E473" s="311">
        <v>89.4</v>
      </c>
      <c r="F473" s="311"/>
      <c r="G473" s="311"/>
      <c r="H473" s="311">
        <f t="shared" si="41"/>
        <v>89.4</v>
      </c>
      <c r="I473" s="109"/>
      <c r="J473" s="135"/>
      <c r="K473" s="130"/>
      <c r="M473" s="315"/>
      <c r="N473" s="315"/>
      <c r="O473" s="133"/>
    </row>
    <row r="474" spans="1:15" ht="12.2" customHeight="1">
      <c r="A474" s="215"/>
      <c r="B474" s="189" t="s">
        <v>724</v>
      </c>
      <c r="C474" s="309"/>
      <c r="D474" s="310">
        <v>1</v>
      </c>
      <c r="E474" s="311">
        <v>116.13</v>
      </c>
      <c r="F474" s="311"/>
      <c r="G474" s="311"/>
      <c r="H474" s="311">
        <f t="shared" si="41"/>
        <v>116.13</v>
      </c>
      <c r="I474" s="109"/>
      <c r="J474" s="135"/>
      <c r="K474" s="130"/>
      <c r="M474" s="315"/>
      <c r="N474" s="315"/>
      <c r="O474" s="133"/>
    </row>
    <row r="475" spans="1:15" ht="12.2" customHeight="1">
      <c r="A475" s="188"/>
      <c r="B475" s="189" t="s">
        <v>725</v>
      </c>
      <c r="C475" s="190"/>
      <c r="D475" s="191">
        <v>1</v>
      </c>
      <c r="E475" s="192">
        <v>118.74</v>
      </c>
      <c r="F475" s="192"/>
      <c r="G475" s="192"/>
      <c r="H475" s="192">
        <f t="shared" si="41"/>
        <v>118.74</v>
      </c>
      <c r="I475" s="68"/>
      <c r="J475" s="114"/>
      <c r="K475" s="117"/>
      <c r="M475" s="134"/>
      <c r="N475" s="134"/>
      <c r="O475" s="133"/>
    </row>
    <row r="476" spans="1:15" ht="12.2" customHeight="1">
      <c r="A476" s="188"/>
      <c r="B476" s="216" t="s">
        <v>726</v>
      </c>
      <c r="C476" s="190"/>
      <c r="D476" s="191">
        <v>1</v>
      </c>
      <c r="E476" s="192">
        <v>135.41</v>
      </c>
      <c r="F476" s="192"/>
      <c r="G476" s="192"/>
      <c r="H476" s="192">
        <f t="shared" si="41"/>
        <v>135.41</v>
      </c>
      <c r="I476" s="68"/>
      <c r="J476" s="114"/>
      <c r="K476" s="117"/>
      <c r="M476" s="134"/>
      <c r="N476" s="134"/>
      <c r="O476" s="133"/>
    </row>
    <row r="477" spans="1:15" ht="12.2" customHeight="1">
      <c r="A477" s="193"/>
      <c r="B477" s="317" t="s">
        <v>428</v>
      </c>
      <c r="C477" s="180"/>
      <c r="D477" s="181"/>
      <c r="E477" s="182"/>
      <c r="F477" s="182"/>
      <c r="G477" s="182"/>
      <c r="H477" s="182"/>
      <c r="I477" s="98"/>
      <c r="J477" s="97"/>
      <c r="K477" s="96"/>
      <c r="M477" s="134"/>
      <c r="N477" s="134"/>
      <c r="O477" s="133"/>
    </row>
    <row r="478" spans="1:15" ht="12.2" customHeight="1">
      <c r="A478" s="183"/>
      <c r="B478" s="184" t="s">
        <v>429</v>
      </c>
      <c r="C478" s="185"/>
      <c r="D478" s="186">
        <v>1</v>
      </c>
      <c r="E478" s="187">
        <v>213.18</v>
      </c>
      <c r="F478" s="187"/>
      <c r="G478" s="187"/>
      <c r="H478" s="187">
        <f t="shared" ref="H478:H506" si="42">D478*E478</f>
        <v>213.18</v>
      </c>
      <c r="I478" s="72"/>
      <c r="J478" s="124"/>
      <c r="K478" s="107"/>
      <c r="M478" s="134"/>
      <c r="N478" s="134"/>
      <c r="O478" s="133"/>
    </row>
    <row r="479" spans="1:15" ht="12.2" customHeight="1">
      <c r="A479" s="188"/>
      <c r="B479" s="189" t="s">
        <v>430</v>
      </c>
      <c r="C479" s="190"/>
      <c r="D479" s="191">
        <v>1</v>
      </c>
      <c r="E479" s="192">
        <v>303.72000000000003</v>
      </c>
      <c r="F479" s="192"/>
      <c r="G479" s="192"/>
      <c r="H479" s="192">
        <f t="shared" si="42"/>
        <v>303.72000000000003</v>
      </c>
      <c r="I479" s="68"/>
      <c r="J479" s="114"/>
      <c r="K479" s="117"/>
      <c r="M479" s="134"/>
      <c r="N479" s="134"/>
      <c r="O479" s="133"/>
    </row>
    <row r="480" spans="1:15" ht="12.2" customHeight="1">
      <c r="A480" s="188"/>
      <c r="B480" s="189" t="s">
        <v>431</v>
      </c>
      <c r="C480" s="190"/>
      <c r="D480" s="191">
        <v>2</v>
      </c>
      <c r="E480" s="192">
        <v>882.68</v>
      </c>
      <c r="F480" s="192"/>
      <c r="G480" s="192"/>
      <c r="H480" s="192">
        <f t="shared" si="42"/>
        <v>1765.36</v>
      </c>
      <c r="I480" s="68"/>
      <c r="J480" s="114"/>
      <c r="K480" s="117"/>
      <c r="M480" s="134"/>
      <c r="N480" s="134"/>
      <c r="O480" s="133"/>
    </row>
    <row r="481" spans="1:15" ht="12.2" customHeight="1">
      <c r="A481" s="188"/>
      <c r="B481" s="189" t="s">
        <v>432</v>
      </c>
      <c r="C481" s="190"/>
      <c r="D481" s="191">
        <v>1</v>
      </c>
      <c r="E481" s="192">
        <v>937.91</v>
      </c>
      <c r="F481" s="192"/>
      <c r="G481" s="192"/>
      <c r="H481" s="192">
        <f t="shared" si="42"/>
        <v>937.91</v>
      </c>
      <c r="I481" s="68"/>
      <c r="J481" s="114"/>
      <c r="K481" s="117"/>
      <c r="M481" s="134"/>
      <c r="N481" s="134"/>
      <c r="O481" s="133"/>
    </row>
    <row r="482" spans="1:15" ht="12.2" customHeight="1">
      <c r="A482" s="188"/>
      <c r="B482" s="189" t="s">
        <v>433</v>
      </c>
      <c r="C482" s="190"/>
      <c r="D482" s="191">
        <v>1</v>
      </c>
      <c r="E482" s="192">
        <v>919.54</v>
      </c>
      <c r="F482" s="192"/>
      <c r="G482" s="192"/>
      <c r="H482" s="192">
        <f t="shared" si="42"/>
        <v>919.54</v>
      </c>
      <c r="I482" s="68"/>
      <c r="J482" s="114"/>
      <c r="K482" s="117"/>
      <c r="M482" s="134"/>
      <c r="N482" s="134"/>
      <c r="O482" s="133"/>
    </row>
    <row r="483" spans="1:15" ht="12.2" customHeight="1">
      <c r="A483" s="188"/>
      <c r="B483" s="189" t="s">
        <v>434</v>
      </c>
      <c r="C483" s="190"/>
      <c r="D483" s="191">
        <v>1</v>
      </c>
      <c r="E483" s="192">
        <v>333.33</v>
      </c>
      <c r="F483" s="192"/>
      <c r="G483" s="192"/>
      <c r="H483" s="192">
        <f t="shared" si="42"/>
        <v>333.33</v>
      </c>
      <c r="I483" s="68"/>
      <c r="J483" s="114"/>
      <c r="K483" s="117"/>
      <c r="M483" s="134"/>
      <c r="N483" s="134"/>
      <c r="O483" s="133"/>
    </row>
    <row r="484" spans="1:15" ht="12.2" customHeight="1">
      <c r="A484" s="188"/>
      <c r="B484" s="189" t="s">
        <v>435</v>
      </c>
      <c r="C484" s="190"/>
      <c r="D484" s="191">
        <v>4</v>
      </c>
      <c r="E484" s="192">
        <v>47.89</v>
      </c>
      <c r="F484" s="192"/>
      <c r="G484" s="192"/>
      <c r="H484" s="192">
        <f t="shared" si="42"/>
        <v>191.56</v>
      </c>
      <c r="I484" s="68"/>
      <c r="J484" s="114"/>
      <c r="K484" s="117"/>
      <c r="M484" s="134"/>
      <c r="N484" s="134"/>
      <c r="O484" s="133"/>
    </row>
    <row r="485" spans="1:15" ht="12.2" customHeight="1">
      <c r="A485" s="188"/>
      <c r="B485" s="189" t="s">
        <v>436</v>
      </c>
      <c r="C485" s="190"/>
      <c r="D485" s="191">
        <v>1</v>
      </c>
      <c r="E485" s="192">
        <v>116.36</v>
      </c>
      <c r="F485" s="192"/>
      <c r="G485" s="192"/>
      <c r="H485" s="192">
        <f t="shared" si="42"/>
        <v>116.36</v>
      </c>
      <c r="I485" s="68"/>
      <c r="J485" s="114"/>
      <c r="K485" s="117"/>
      <c r="M485" s="134"/>
      <c r="N485" s="134"/>
      <c r="O485" s="133"/>
    </row>
    <row r="486" spans="1:15" ht="12.2" customHeight="1">
      <c r="A486" s="188"/>
      <c r="B486" s="189" t="s">
        <v>437</v>
      </c>
      <c r="C486" s="190"/>
      <c r="D486" s="191">
        <v>1</v>
      </c>
      <c r="E486" s="192">
        <v>78.849999999999994</v>
      </c>
      <c r="F486" s="192"/>
      <c r="G486" s="192"/>
      <c r="H486" s="192">
        <f t="shared" si="42"/>
        <v>78.849999999999994</v>
      </c>
      <c r="I486" s="68"/>
      <c r="J486" s="114"/>
      <c r="K486" s="117"/>
      <c r="M486" s="134"/>
      <c r="N486" s="134"/>
      <c r="O486" s="133"/>
    </row>
    <row r="487" spans="1:15" ht="12.2" customHeight="1">
      <c r="A487" s="188"/>
      <c r="B487" s="189" t="s">
        <v>438</v>
      </c>
      <c r="C487" s="190"/>
      <c r="D487" s="191">
        <v>1</v>
      </c>
      <c r="E487" s="192">
        <v>95.49</v>
      </c>
      <c r="F487" s="192"/>
      <c r="G487" s="192"/>
      <c r="H487" s="192">
        <f t="shared" si="42"/>
        <v>95.49</v>
      </c>
      <c r="I487" s="68"/>
      <c r="J487" s="114"/>
      <c r="K487" s="117"/>
      <c r="M487" s="134"/>
      <c r="N487" s="134"/>
      <c r="O487" s="133"/>
    </row>
    <row r="488" spans="1:15" ht="12.2" customHeight="1">
      <c r="A488" s="188"/>
      <c r="B488" s="189" t="s">
        <v>604</v>
      </c>
      <c r="C488" s="190"/>
      <c r="D488" s="191">
        <v>1</v>
      </c>
      <c r="E488" s="192">
        <v>42.76</v>
      </c>
      <c r="F488" s="192"/>
      <c r="G488" s="192"/>
      <c r="H488" s="192">
        <f t="shared" si="42"/>
        <v>42.76</v>
      </c>
      <c r="I488" s="68"/>
      <c r="J488" s="114"/>
      <c r="K488" s="117"/>
      <c r="M488" s="134"/>
      <c r="N488" s="134"/>
      <c r="O488" s="133"/>
    </row>
    <row r="489" spans="1:15" ht="12.2" customHeight="1">
      <c r="A489" s="188"/>
      <c r="B489" s="189" t="s">
        <v>439</v>
      </c>
      <c r="C489" s="190"/>
      <c r="D489" s="191">
        <v>1</v>
      </c>
      <c r="E489" s="192">
        <v>111.57</v>
      </c>
      <c r="F489" s="192"/>
      <c r="G489" s="192"/>
      <c r="H489" s="192">
        <f t="shared" si="42"/>
        <v>111.57</v>
      </c>
      <c r="I489" s="68"/>
      <c r="J489" s="114"/>
      <c r="K489" s="117"/>
      <c r="M489" s="134"/>
      <c r="N489" s="134"/>
      <c r="O489" s="133"/>
    </row>
    <row r="490" spans="1:15" ht="12.2" customHeight="1">
      <c r="A490" s="188"/>
      <c r="B490" s="189" t="s">
        <v>440</v>
      </c>
      <c r="C490" s="190"/>
      <c r="D490" s="191">
        <v>1</v>
      </c>
      <c r="E490" s="192">
        <v>108.9</v>
      </c>
      <c r="F490" s="192"/>
      <c r="G490" s="192"/>
      <c r="H490" s="192">
        <f t="shared" si="42"/>
        <v>108.9</v>
      </c>
      <c r="I490" s="68"/>
      <c r="J490" s="114"/>
      <c r="K490" s="117"/>
      <c r="M490" s="134"/>
      <c r="N490" s="134"/>
      <c r="O490" s="133"/>
    </row>
    <row r="491" spans="1:15" ht="12.2" customHeight="1">
      <c r="A491" s="188"/>
      <c r="B491" s="189" t="s">
        <v>441</v>
      </c>
      <c r="C491" s="190"/>
      <c r="D491" s="191">
        <v>1</v>
      </c>
      <c r="E491" s="192">
        <v>100.56</v>
      </c>
      <c r="F491" s="192"/>
      <c r="G491" s="192"/>
      <c r="H491" s="192">
        <f t="shared" si="42"/>
        <v>100.56</v>
      </c>
      <c r="I491" s="68"/>
      <c r="J491" s="114"/>
      <c r="K491" s="117"/>
      <c r="M491" s="134"/>
      <c r="N491" s="134"/>
      <c r="O491" s="133"/>
    </row>
    <row r="492" spans="1:15" ht="12.2" customHeight="1">
      <c r="A492" s="305"/>
      <c r="B492" s="304" t="s">
        <v>671</v>
      </c>
      <c r="C492" s="190"/>
      <c r="D492" s="191">
        <v>6</v>
      </c>
      <c r="E492" s="192">
        <v>263.19</v>
      </c>
      <c r="F492" s="192"/>
      <c r="G492" s="192"/>
      <c r="H492" s="192">
        <f t="shared" si="42"/>
        <v>1579.1399999999999</v>
      </c>
      <c r="I492" s="68"/>
      <c r="J492" s="114"/>
      <c r="K492" s="117"/>
      <c r="M492" s="134"/>
      <c r="N492" s="134"/>
      <c r="O492" s="133"/>
    </row>
    <row r="493" spans="1:15" ht="12.2" customHeight="1">
      <c r="A493" s="305"/>
      <c r="B493" s="189" t="s">
        <v>442</v>
      </c>
      <c r="C493" s="190"/>
      <c r="D493" s="191">
        <v>1</v>
      </c>
      <c r="E493" s="192">
        <v>134.26</v>
      </c>
      <c r="F493" s="192"/>
      <c r="G493" s="192"/>
      <c r="H493" s="192">
        <f t="shared" si="42"/>
        <v>134.26</v>
      </c>
      <c r="I493" s="68"/>
      <c r="J493" s="114"/>
      <c r="K493" s="117"/>
      <c r="M493" s="134"/>
      <c r="N493" s="134"/>
      <c r="O493" s="133"/>
    </row>
    <row r="494" spans="1:15" ht="12.2" customHeight="1">
      <c r="A494" s="305"/>
      <c r="B494" s="189" t="s">
        <v>443</v>
      </c>
      <c r="C494" s="190"/>
      <c r="D494" s="191">
        <v>1</v>
      </c>
      <c r="E494" s="192">
        <v>114.36</v>
      </c>
      <c r="F494" s="192"/>
      <c r="G494" s="192"/>
      <c r="H494" s="192">
        <f t="shared" si="42"/>
        <v>114.36</v>
      </c>
      <c r="I494" s="68"/>
      <c r="J494" s="114"/>
      <c r="K494" s="117"/>
      <c r="M494" s="134"/>
      <c r="N494" s="134"/>
      <c r="O494" s="133"/>
    </row>
    <row r="495" spans="1:15" ht="12.2" customHeight="1">
      <c r="A495" s="305"/>
      <c r="B495" s="189" t="s">
        <v>444</v>
      </c>
      <c r="C495" s="190"/>
      <c r="D495" s="191">
        <v>1</v>
      </c>
      <c r="E495" s="192">
        <v>34.96</v>
      </c>
      <c r="F495" s="192"/>
      <c r="G495" s="192"/>
      <c r="H495" s="192">
        <f t="shared" si="42"/>
        <v>34.96</v>
      </c>
      <c r="I495" s="68"/>
      <c r="J495" s="114"/>
      <c r="K495" s="117"/>
      <c r="M495" s="134"/>
      <c r="N495" s="134"/>
      <c r="O495" s="133"/>
    </row>
    <row r="496" spans="1:15" ht="12.2" customHeight="1">
      <c r="A496" s="305"/>
      <c r="B496" s="189" t="s">
        <v>445</v>
      </c>
      <c r="C496" s="190"/>
      <c r="D496" s="191">
        <v>1</v>
      </c>
      <c r="E496" s="192">
        <v>99.14</v>
      </c>
      <c r="F496" s="192"/>
      <c r="G496" s="192"/>
      <c r="H496" s="192">
        <f t="shared" si="42"/>
        <v>99.14</v>
      </c>
      <c r="I496" s="68"/>
      <c r="J496" s="114"/>
      <c r="K496" s="117"/>
      <c r="M496" s="134"/>
      <c r="N496" s="134"/>
      <c r="O496" s="133"/>
    </row>
    <row r="497" spans="1:15" ht="12.2" customHeight="1">
      <c r="A497" s="305"/>
      <c r="B497" s="189" t="s">
        <v>446</v>
      </c>
      <c r="C497" s="190"/>
      <c r="D497" s="191">
        <v>1</v>
      </c>
      <c r="E497" s="192">
        <v>122.33</v>
      </c>
      <c r="F497" s="192"/>
      <c r="G497" s="192"/>
      <c r="H497" s="192">
        <f t="shared" si="42"/>
        <v>122.33</v>
      </c>
      <c r="I497" s="68"/>
      <c r="J497" s="114"/>
      <c r="K497" s="117"/>
      <c r="M497" s="134"/>
      <c r="N497" s="134"/>
      <c r="O497" s="133"/>
    </row>
    <row r="498" spans="1:15" ht="12.2" customHeight="1">
      <c r="A498" s="305"/>
      <c r="B498" s="189" t="s">
        <v>447</v>
      </c>
      <c r="C498" s="190"/>
      <c r="D498" s="191">
        <v>1</v>
      </c>
      <c r="E498" s="192">
        <v>215.91</v>
      </c>
      <c r="F498" s="192"/>
      <c r="G498" s="192"/>
      <c r="H498" s="192">
        <f t="shared" si="42"/>
        <v>215.91</v>
      </c>
      <c r="I498" s="68"/>
      <c r="J498" s="114"/>
      <c r="K498" s="117"/>
      <c r="M498" s="134"/>
      <c r="N498" s="134"/>
      <c r="O498" s="133"/>
    </row>
    <row r="499" spans="1:15" ht="12.2" customHeight="1">
      <c r="A499" s="305"/>
      <c r="B499" s="189" t="s">
        <v>448</v>
      </c>
      <c r="C499" s="190"/>
      <c r="D499" s="191">
        <v>1</v>
      </c>
      <c r="E499" s="192">
        <v>565.29999999999995</v>
      </c>
      <c r="F499" s="192"/>
      <c r="G499" s="192"/>
      <c r="H499" s="192">
        <f t="shared" si="42"/>
        <v>565.29999999999995</v>
      </c>
      <c r="I499" s="68"/>
      <c r="J499" s="114"/>
      <c r="K499" s="117"/>
      <c r="M499" s="134"/>
      <c r="N499" s="134"/>
      <c r="O499" s="133"/>
    </row>
    <row r="500" spans="1:15" ht="12.2" customHeight="1">
      <c r="A500" s="305"/>
      <c r="B500" s="189" t="s">
        <v>449</v>
      </c>
      <c r="C500" s="190"/>
      <c r="D500" s="191">
        <v>4</v>
      </c>
      <c r="E500" s="192">
        <v>50.26</v>
      </c>
      <c r="F500" s="192"/>
      <c r="G500" s="192"/>
      <c r="H500" s="192">
        <f t="shared" si="42"/>
        <v>201.04</v>
      </c>
      <c r="I500" s="68"/>
      <c r="J500" s="114"/>
      <c r="K500" s="117"/>
      <c r="M500" s="134"/>
      <c r="N500" s="134"/>
      <c r="O500" s="133"/>
    </row>
    <row r="501" spans="1:15" ht="12.2" customHeight="1">
      <c r="A501" s="305"/>
      <c r="B501" s="189" t="s">
        <v>450</v>
      </c>
      <c r="C501" s="190"/>
      <c r="D501" s="191">
        <v>1</v>
      </c>
      <c r="E501" s="192">
        <v>50.26</v>
      </c>
      <c r="F501" s="192"/>
      <c r="G501" s="192"/>
      <c r="H501" s="192">
        <f t="shared" si="42"/>
        <v>50.26</v>
      </c>
      <c r="I501" s="68"/>
      <c r="J501" s="114"/>
      <c r="K501" s="117"/>
      <c r="M501" s="134"/>
      <c r="N501" s="134"/>
      <c r="O501" s="133"/>
    </row>
    <row r="502" spans="1:15" ht="12.2" customHeight="1">
      <c r="A502" s="305"/>
      <c r="B502" s="189" t="s">
        <v>451</v>
      </c>
      <c r="C502" s="190"/>
      <c r="D502" s="191">
        <v>2</v>
      </c>
      <c r="E502" s="192">
        <v>12.25</v>
      </c>
      <c r="F502" s="192"/>
      <c r="G502" s="192"/>
      <c r="H502" s="192">
        <f t="shared" si="42"/>
        <v>24.5</v>
      </c>
      <c r="I502" s="68"/>
      <c r="J502" s="114"/>
      <c r="K502" s="117"/>
      <c r="M502" s="134"/>
      <c r="N502" s="134"/>
      <c r="O502" s="133"/>
    </row>
    <row r="503" spans="1:15" ht="12.2" customHeight="1">
      <c r="A503" s="305"/>
      <c r="B503" s="189" t="s">
        <v>452</v>
      </c>
      <c r="C503" s="190"/>
      <c r="D503" s="191">
        <v>2</v>
      </c>
      <c r="E503" s="192">
        <v>82.55</v>
      </c>
      <c r="F503" s="192"/>
      <c r="G503" s="192"/>
      <c r="H503" s="192">
        <f t="shared" si="42"/>
        <v>165.1</v>
      </c>
      <c r="I503" s="68"/>
      <c r="J503" s="114"/>
      <c r="K503" s="117"/>
      <c r="M503" s="134"/>
      <c r="N503" s="134"/>
      <c r="O503" s="133"/>
    </row>
    <row r="504" spans="1:15" ht="12.2" customHeight="1">
      <c r="A504" s="305"/>
      <c r="B504" s="189" t="s">
        <v>453</v>
      </c>
      <c r="C504" s="190"/>
      <c r="D504" s="191">
        <v>1</v>
      </c>
      <c r="E504" s="192">
        <v>297.25</v>
      </c>
      <c r="F504" s="192"/>
      <c r="G504" s="192"/>
      <c r="H504" s="192">
        <f t="shared" si="42"/>
        <v>297.25</v>
      </c>
      <c r="I504" s="68"/>
      <c r="J504" s="114"/>
      <c r="K504" s="117"/>
      <c r="M504" s="134"/>
      <c r="N504" s="134"/>
      <c r="O504" s="133"/>
    </row>
    <row r="505" spans="1:15" ht="12.2" customHeight="1">
      <c r="A505" s="306"/>
      <c r="B505" s="216" t="s">
        <v>454</v>
      </c>
      <c r="C505" s="217"/>
      <c r="D505" s="218">
        <v>1</v>
      </c>
      <c r="E505" s="219">
        <v>289.58999999999997</v>
      </c>
      <c r="F505" s="219"/>
      <c r="G505" s="219"/>
      <c r="H505" s="219">
        <f t="shared" si="42"/>
        <v>289.58999999999997</v>
      </c>
      <c r="I505" s="67"/>
      <c r="J505" s="128"/>
      <c r="K505" s="164"/>
      <c r="M505" s="134"/>
      <c r="N505" s="134"/>
      <c r="O505" s="133"/>
    </row>
    <row r="506" spans="1:15" ht="12.2" customHeight="1" thickBot="1">
      <c r="A506" s="307"/>
      <c r="B506" s="261" t="s">
        <v>670</v>
      </c>
      <c r="C506" s="262"/>
      <c r="D506" s="263">
        <v>1</v>
      </c>
      <c r="E506" s="264">
        <v>122.32</v>
      </c>
      <c r="F506" s="264"/>
      <c r="G506" s="264"/>
      <c r="H506" s="264">
        <f t="shared" si="42"/>
        <v>122.32</v>
      </c>
      <c r="I506" s="92"/>
      <c r="J506" s="145"/>
      <c r="K506" s="146"/>
      <c r="M506" s="134"/>
      <c r="N506" s="134"/>
      <c r="O506" s="133"/>
    </row>
    <row r="507" spans="1:15" ht="12.6" customHeight="1" thickTop="1">
      <c r="A507" s="91"/>
      <c r="B507" s="90"/>
      <c r="C507" s="90"/>
      <c r="D507" s="90"/>
      <c r="E507" s="90"/>
      <c r="F507" s="90"/>
      <c r="G507" s="90"/>
      <c r="H507" s="90"/>
      <c r="I507" s="90"/>
      <c r="J507" s="90"/>
      <c r="K507" s="89"/>
      <c r="M507" s="134"/>
      <c r="N507" s="134"/>
      <c r="O507" s="133"/>
    </row>
    <row r="508" spans="1:15" ht="15" customHeight="1">
      <c r="A508" s="569" t="s">
        <v>29</v>
      </c>
      <c r="B508" s="570"/>
      <c r="C508" s="570"/>
      <c r="D508" s="570"/>
      <c r="E508" s="570"/>
      <c r="F508" s="570"/>
      <c r="G508" s="570"/>
      <c r="H508" s="570"/>
      <c r="I508" s="570"/>
      <c r="J508" s="570"/>
      <c r="K508" s="571"/>
      <c r="M508" s="134"/>
      <c r="N508" s="134"/>
      <c r="O508" s="133"/>
    </row>
    <row r="509" spans="1:15" ht="15.75" customHeight="1">
      <c r="A509" s="572" t="s">
        <v>69</v>
      </c>
      <c r="B509" s="573"/>
      <c r="C509" s="573"/>
      <c r="D509" s="573"/>
      <c r="E509" s="573"/>
      <c r="F509" s="573"/>
      <c r="G509" s="573"/>
      <c r="H509" s="573"/>
      <c r="I509" s="573"/>
      <c r="J509" s="573"/>
      <c r="K509" s="574"/>
      <c r="M509" s="134"/>
      <c r="N509" s="134"/>
      <c r="O509" s="133"/>
    </row>
    <row r="510" spans="1:15" ht="14.25" customHeight="1">
      <c r="A510" s="88"/>
      <c r="B510" s="85"/>
      <c r="C510" s="85"/>
      <c r="D510" s="85"/>
      <c r="E510" s="85"/>
      <c r="F510" s="85"/>
      <c r="G510" s="85"/>
      <c r="H510" s="85"/>
      <c r="I510" s="85"/>
      <c r="J510" s="85"/>
      <c r="K510" s="87"/>
      <c r="M510" s="134"/>
      <c r="N510" s="134"/>
      <c r="O510" s="133"/>
    </row>
    <row r="511" spans="1:15" ht="7.5" customHeight="1">
      <c r="A511" s="55"/>
      <c r="B511" s="86"/>
      <c r="C511" s="86"/>
      <c r="D511" s="86"/>
      <c r="E511" s="86"/>
      <c r="F511" s="86"/>
      <c r="G511" s="86"/>
      <c r="H511" s="86"/>
      <c r="I511" s="86"/>
      <c r="J511" s="86"/>
      <c r="K511" s="81"/>
      <c r="M511" s="134"/>
      <c r="N511" s="134"/>
      <c r="O511" s="133"/>
    </row>
    <row r="512" spans="1:15" ht="12.6" customHeight="1">
      <c r="A512" s="575" t="s">
        <v>68</v>
      </c>
      <c r="B512" s="576"/>
      <c r="C512" s="576"/>
      <c r="D512" s="576"/>
      <c r="E512" s="576"/>
      <c r="F512" s="576"/>
      <c r="G512" s="576"/>
      <c r="H512" s="576"/>
      <c r="I512" s="576"/>
      <c r="J512" s="576"/>
      <c r="K512" s="577"/>
      <c r="M512" s="134"/>
      <c r="N512" s="134"/>
      <c r="O512" s="133"/>
    </row>
    <row r="513" spans="1:15" ht="6.75" customHeight="1">
      <c r="A513" s="55"/>
      <c r="B513" s="86"/>
      <c r="C513" s="86"/>
      <c r="D513" s="86"/>
      <c r="E513" s="86"/>
      <c r="F513" s="86"/>
      <c r="G513" s="86"/>
      <c r="H513" s="86"/>
      <c r="I513" s="86"/>
      <c r="J513" s="85"/>
      <c r="K513" s="81"/>
      <c r="M513" s="134"/>
      <c r="N513" s="134"/>
      <c r="O513" s="133"/>
    </row>
    <row r="514" spans="1:15" ht="12.6" customHeight="1">
      <c r="A514" s="84"/>
      <c r="B514" s="83" t="s">
        <v>11</v>
      </c>
      <c r="C514" s="578" t="s">
        <v>361</v>
      </c>
      <c r="D514" s="579"/>
      <c r="E514" s="579"/>
      <c r="F514" s="579"/>
      <c r="G514" s="579"/>
      <c r="H514" s="579"/>
      <c r="I514" s="579"/>
      <c r="J514" s="580"/>
      <c r="K514" s="81"/>
      <c r="M514" s="134"/>
      <c r="N514" s="134"/>
      <c r="O514" s="133"/>
    </row>
    <row r="515" spans="1:15" ht="7.5" customHeight="1">
      <c r="A515" s="80"/>
      <c r="K515" s="81"/>
      <c r="M515" s="134"/>
      <c r="N515" s="134"/>
      <c r="O515" s="133"/>
    </row>
    <row r="516" spans="1:15" ht="12.6" customHeight="1">
      <c r="A516" s="80"/>
      <c r="B516" s="82" t="s">
        <v>67</v>
      </c>
      <c r="C516" s="581" t="s">
        <v>66</v>
      </c>
      <c r="D516" s="582"/>
      <c r="E516" s="582"/>
      <c r="F516" s="582"/>
      <c r="G516" s="582"/>
      <c r="H516" s="582"/>
      <c r="I516" s="582"/>
      <c r="J516" s="583"/>
      <c r="K516" s="81"/>
      <c r="M516" s="134"/>
      <c r="N516" s="134"/>
      <c r="O516" s="133"/>
    </row>
    <row r="517" spans="1:15" ht="7.5" customHeight="1">
      <c r="A517" s="80"/>
      <c r="B517" s="79"/>
      <c r="D517" s="78"/>
      <c r="E517" s="78"/>
      <c r="F517" s="78"/>
      <c r="G517" s="78"/>
      <c r="H517" s="78"/>
      <c r="I517" s="78"/>
      <c r="K517" s="77"/>
      <c r="M517" s="134"/>
      <c r="N517" s="134"/>
      <c r="O517" s="133"/>
    </row>
    <row r="518" spans="1:15" ht="12.6" customHeight="1">
      <c r="A518" s="584" t="s">
        <v>84</v>
      </c>
      <c r="B518" s="585" t="s">
        <v>83</v>
      </c>
      <c r="C518" s="585" t="s">
        <v>82</v>
      </c>
      <c r="D518" s="585" t="s">
        <v>81</v>
      </c>
      <c r="E518" s="564" t="s">
        <v>80</v>
      </c>
      <c r="F518" s="564"/>
      <c r="G518" s="564"/>
      <c r="H518" s="564" t="s">
        <v>79</v>
      </c>
      <c r="I518" s="564"/>
      <c r="J518" s="564"/>
      <c r="K518" s="565" t="s">
        <v>58</v>
      </c>
      <c r="M518" s="134"/>
      <c r="N518" s="134"/>
      <c r="O518" s="133"/>
    </row>
    <row r="519" spans="1:15" ht="12.6" customHeight="1">
      <c r="A519" s="584"/>
      <c r="B519" s="585"/>
      <c r="C519" s="585"/>
      <c r="D519" s="585"/>
      <c r="E519" s="125" t="s">
        <v>78</v>
      </c>
      <c r="F519" s="125" t="s">
        <v>77</v>
      </c>
      <c r="G519" s="125" t="s">
        <v>76</v>
      </c>
      <c r="H519" s="125" t="s">
        <v>75</v>
      </c>
      <c r="I519" s="125" t="s">
        <v>74</v>
      </c>
      <c r="J519" s="125" t="s">
        <v>73</v>
      </c>
      <c r="K519" s="565"/>
      <c r="M519" s="134"/>
      <c r="N519" s="134"/>
      <c r="O519" s="133"/>
    </row>
    <row r="520" spans="1:15" ht="12.6" customHeight="1">
      <c r="A520" s="584"/>
      <c r="B520" s="585"/>
      <c r="C520" s="585"/>
      <c r="D520" s="585"/>
      <c r="E520" s="125" t="s">
        <v>70</v>
      </c>
      <c r="F520" s="125" t="s">
        <v>70</v>
      </c>
      <c r="G520" s="125" t="s">
        <v>70</v>
      </c>
      <c r="H520" s="125" t="s">
        <v>72</v>
      </c>
      <c r="I520" s="125" t="s">
        <v>71</v>
      </c>
      <c r="J520" s="125" t="s">
        <v>70</v>
      </c>
      <c r="K520" s="565"/>
      <c r="M520" s="134"/>
      <c r="N520" s="134"/>
      <c r="O520" s="133"/>
    </row>
    <row r="521" spans="1:15" ht="12.6" customHeight="1">
      <c r="A521" s="222"/>
      <c r="B521" s="223" t="s">
        <v>154</v>
      </c>
      <c r="C521" s="224"/>
      <c r="D521" s="225"/>
      <c r="E521" s="226"/>
      <c r="F521" s="226"/>
      <c r="G521" s="226"/>
      <c r="H521" s="226"/>
      <c r="I521" s="170"/>
      <c r="J521" s="171"/>
      <c r="K521" s="172"/>
      <c r="M521" s="134"/>
      <c r="N521" s="134"/>
      <c r="O521" s="133"/>
    </row>
    <row r="522" spans="1:15" ht="12.6" customHeight="1">
      <c r="A522" s="183"/>
      <c r="B522" s="184" t="s">
        <v>429</v>
      </c>
      <c r="C522" s="185"/>
      <c r="D522" s="186">
        <v>1</v>
      </c>
      <c r="E522" s="187">
        <v>187.24</v>
      </c>
      <c r="F522" s="187"/>
      <c r="G522" s="187"/>
      <c r="H522" s="187">
        <f t="shared" ref="H522:H537" si="43">D522*E522</f>
        <v>187.24</v>
      </c>
      <c r="I522" s="72"/>
      <c r="J522" s="124"/>
      <c r="K522" s="107"/>
      <c r="M522" s="134"/>
      <c r="N522" s="134"/>
      <c r="O522" s="133"/>
    </row>
    <row r="523" spans="1:15" ht="12.6" customHeight="1">
      <c r="A523" s="188"/>
      <c r="B523" s="189" t="s">
        <v>430</v>
      </c>
      <c r="C523" s="190"/>
      <c r="D523" s="191">
        <v>1</v>
      </c>
      <c r="E523" s="192">
        <v>189.95</v>
      </c>
      <c r="F523" s="192"/>
      <c r="G523" s="192"/>
      <c r="H523" s="192">
        <f t="shared" si="43"/>
        <v>189.95</v>
      </c>
      <c r="I523" s="68"/>
      <c r="J523" s="114"/>
      <c r="K523" s="117"/>
      <c r="M523" s="134"/>
      <c r="N523" s="134"/>
      <c r="O523" s="133"/>
    </row>
    <row r="524" spans="1:15" ht="12.6" customHeight="1">
      <c r="A524" s="188"/>
      <c r="B524" s="189" t="s">
        <v>455</v>
      </c>
      <c r="C524" s="190"/>
      <c r="D524" s="191">
        <v>2</v>
      </c>
      <c r="E524" s="192">
        <v>169.66</v>
      </c>
      <c r="F524" s="192"/>
      <c r="G524" s="192"/>
      <c r="H524" s="192">
        <f t="shared" si="43"/>
        <v>339.32</v>
      </c>
      <c r="I524" s="68"/>
      <c r="J524" s="114"/>
      <c r="K524" s="117"/>
      <c r="M524" s="134"/>
      <c r="N524" s="134"/>
      <c r="O524" s="133"/>
    </row>
    <row r="525" spans="1:15" ht="12.6" customHeight="1">
      <c r="A525" s="188"/>
      <c r="B525" s="189" t="s">
        <v>456</v>
      </c>
      <c r="C525" s="190"/>
      <c r="D525" s="191">
        <v>1</v>
      </c>
      <c r="E525" s="192">
        <v>158.08000000000001</v>
      </c>
      <c r="F525" s="192"/>
      <c r="G525" s="192"/>
      <c r="H525" s="192">
        <f t="shared" si="43"/>
        <v>158.08000000000001</v>
      </c>
      <c r="I525" s="68"/>
      <c r="J525" s="114"/>
      <c r="K525" s="117"/>
      <c r="M525" s="134"/>
      <c r="N525" s="134"/>
      <c r="O525" s="133"/>
    </row>
    <row r="526" spans="1:15" ht="12.6" customHeight="1">
      <c r="A526" s="188"/>
      <c r="B526" s="189" t="s">
        <v>439</v>
      </c>
      <c r="C526" s="190"/>
      <c r="D526" s="191">
        <v>1</v>
      </c>
      <c r="E526" s="192">
        <v>93.55</v>
      </c>
      <c r="F526" s="192"/>
      <c r="G526" s="192"/>
      <c r="H526" s="192">
        <f t="shared" si="43"/>
        <v>93.55</v>
      </c>
      <c r="I526" s="68"/>
      <c r="J526" s="114"/>
      <c r="K526" s="117"/>
      <c r="M526" s="134"/>
      <c r="N526" s="134"/>
      <c r="O526" s="133"/>
    </row>
    <row r="527" spans="1:15" ht="12.6" customHeight="1">
      <c r="A527" s="188"/>
      <c r="B527" s="189" t="s">
        <v>440</v>
      </c>
      <c r="C527" s="190"/>
      <c r="D527" s="191">
        <v>1</v>
      </c>
      <c r="E527" s="192">
        <v>93.55</v>
      </c>
      <c r="F527" s="192"/>
      <c r="G527" s="192"/>
      <c r="H527" s="192">
        <f t="shared" si="43"/>
        <v>93.55</v>
      </c>
      <c r="I527" s="68"/>
      <c r="J527" s="114"/>
      <c r="K527" s="117"/>
      <c r="M527" s="134"/>
      <c r="N527" s="134"/>
      <c r="O527" s="133"/>
    </row>
    <row r="528" spans="1:15" ht="12.6" customHeight="1">
      <c r="A528" s="188"/>
      <c r="B528" s="189" t="s">
        <v>457</v>
      </c>
      <c r="C528" s="190"/>
      <c r="D528" s="191">
        <v>1</v>
      </c>
      <c r="E528" s="192">
        <v>147.05000000000001</v>
      </c>
      <c r="F528" s="192"/>
      <c r="G528" s="192"/>
      <c r="H528" s="192">
        <f t="shared" si="43"/>
        <v>147.05000000000001</v>
      </c>
      <c r="I528" s="68"/>
      <c r="J528" s="114"/>
      <c r="K528" s="117"/>
      <c r="M528" s="134"/>
      <c r="N528" s="134"/>
      <c r="O528" s="133"/>
    </row>
    <row r="529" spans="1:15" ht="12.6" customHeight="1">
      <c r="A529" s="188"/>
      <c r="B529" s="189" t="s">
        <v>458</v>
      </c>
      <c r="C529" s="190"/>
      <c r="D529" s="191">
        <v>3</v>
      </c>
      <c r="E529" s="192">
        <v>94.13</v>
      </c>
      <c r="F529" s="192"/>
      <c r="G529" s="192"/>
      <c r="H529" s="192">
        <f t="shared" si="43"/>
        <v>282.39</v>
      </c>
      <c r="I529" s="68"/>
      <c r="J529" s="114"/>
      <c r="K529" s="117"/>
      <c r="M529" s="134"/>
      <c r="N529" s="134"/>
      <c r="O529" s="133"/>
    </row>
    <row r="530" spans="1:15" ht="12.6" customHeight="1">
      <c r="A530" s="188"/>
      <c r="B530" s="189" t="s">
        <v>459</v>
      </c>
      <c r="C530" s="190"/>
      <c r="D530" s="191">
        <v>2</v>
      </c>
      <c r="E530" s="192">
        <v>33.65</v>
      </c>
      <c r="F530" s="192"/>
      <c r="G530" s="192"/>
      <c r="H530" s="192">
        <f t="shared" si="43"/>
        <v>67.3</v>
      </c>
      <c r="I530" s="68"/>
      <c r="J530" s="114"/>
      <c r="K530" s="117"/>
      <c r="M530" s="134"/>
      <c r="N530" s="134"/>
      <c r="O530" s="133"/>
    </row>
    <row r="531" spans="1:15" ht="12.75" customHeight="1">
      <c r="A531" s="188"/>
      <c r="B531" s="189" t="s">
        <v>460</v>
      </c>
      <c r="C531" s="190"/>
      <c r="D531" s="191">
        <v>1</v>
      </c>
      <c r="E531" s="192">
        <v>33.81</v>
      </c>
      <c r="F531" s="192"/>
      <c r="G531" s="192"/>
      <c r="H531" s="192">
        <f t="shared" si="43"/>
        <v>33.81</v>
      </c>
      <c r="I531" s="68"/>
      <c r="J531" s="114"/>
      <c r="K531" s="117"/>
      <c r="M531" s="134"/>
      <c r="N531" s="134"/>
      <c r="O531" s="133"/>
    </row>
    <row r="532" spans="1:15" ht="12.75" customHeight="1">
      <c r="A532" s="188"/>
      <c r="B532" s="189" t="s">
        <v>461</v>
      </c>
      <c r="C532" s="190"/>
      <c r="D532" s="191">
        <v>1</v>
      </c>
      <c r="E532" s="192">
        <v>33.81</v>
      </c>
      <c r="F532" s="192"/>
      <c r="G532" s="192"/>
      <c r="H532" s="192">
        <f t="shared" si="43"/>
        <v>33.81</v>
      </c>
      <c r="I532" s="68"/>
      <c r="J532" s="114"/>
      <c r="K532" s="117"/>
      <c r="M532" s="134"/>
      <c r="N532" s="134"/>
      <c r="O532" s="133"/>
    </row>
    <row r="533" spans="1:15" ht="12.75" customHeight="1">
      <c r="A533" s="188"/>
      <c r="B533" s="189" t="s">
        <v>443</v>
      </c>
      <c r="C533" s="190"/>
      <c r="D533" s="191">
        <v>1</v>
      </c>
      <c r="E533" s="192">
        <v>65.41</v>
      </c>
      <c r="F533" s="192"/>
      <c r="G533" s="192"/>
      <c r="H533" s="192">
        <f t="shared" si="43"/>
        <v>65.41</v>
      </c>
      <c r="I533" s="68"/>
      <c r="J533" s="114"/>
      <c r="K533" s="117"/>
      <c r="M533" s="134"/>
      <c r="N533" s="134"/>
      <c r="O533" s="133"/>
    </row>
    <row r="534" spans="1:15" ht="12.75" customHeight="1">
      <c r="A534" s="188"/>
      <c r="B534" s="189" t="s">
        <v>462</v>
      </c>
      <c r="C534" s="190"/>
      <c r="D534" s="191">
        <v>1</v>
      </c>
      <c r="E534" s="192">
        <v>77.5</v>
      </c>
      <c r="F534" s="192"/>
      <c r="G534" s="192"/>
      <c r="H534" s="192">
        <f t="shared" si="43"/>
        <v>77.5</v>
      </c>
      <c r="I534" s="68"/>
      <c r="J534" s="114"/>
      <c r="K534" s="117"/>
      <c r="M534" s="134"/>
      <c r="N534" s="134"/>
      <c r="O534" s="133"/>
    </row>
    <row r="535" spans="1:15" ht="12.75" customHeight="1">
      <c r="A535" s="188"/>
      <c r="B535" s="189" t="s">
        <v>463</v>
      </c>
      <c r="C535" s="190"/>
      <c r="D535" s="191">
        <v>1</v>
      </c>
      <c r="E535" s="192">
        <v>217.88</v>
      </c>
      <c r="F535" s="192"/>
      <c r="G535" s="192"/>
      <c r="H535" s="192">
        <f t="shared" si="43"/>
        <v>217.88</v>
      </c>
      <c r="I535" s="68"/>
      <c r="J535" s="114"/>
      <c r="K535" s="117"/>
      <c r="M535" s="134"/>
      <c r="N535" s="134"/>
      <c r="O535" s="133"/>
    </row>
    <row r="536" spans="1:15" ht="12.75" customHeight="1">
      <c r="A536" s="188"/>
      <c r="B536" s="189" t="s">
        <v>464</v>
      </c>
      <c r="C536" s="190"/>
      <c r="D536" s="191">
        <v>1</v>
      </c>
      <c r="E536" s="192">
        <v>179.61</v>
      </c>
      <c r="F536" s="192"/>
      <c r="G536" s="192"/>
      <c r="H536" s="192">
        <f t="shared" si="43"/>
        <v>179.61</v>
      </c>
      <c r="I536" s="68"/>
      <c r="J536" s="114"/>
      <c r="K536" s="117"/>
      <c r="M536" s="134"/>
      <c r="N536" s="134"/>
      <c r="O536" s="133"/>
    </row>
    <row r="537" spans="1:15" ht="12.75" customHeight="1">
      <c r="A537" s="178"/>
      <c r="B537" s="216" t="s">
        <v>465</v>
      </c>
      <c r="C537" s="217"/>
      <c r="D537" s="218">
        <v>1</v>
      </c>
      <c r="E537" s="219">
        <v>187.02</v>
      </c>
      <c r="F537" s="219"/>
      <c r="G537" s="219"/>
      <c r="H537" s="219">
        <f t="shared" si="43"/>
        <v>187.02</v>
      </c>
      <c r="I537" s="67"/>
      <c r="J537" s="128"/>
      <c r="K537" s="164"/>
      <c r="M537" s="134"/>
      <c r="N537" s="134"/>
      <c r="O537" s="133"/>
    </row>
    <row r="538" spans="1:15" ht="12.75" customHeight="1">
      <c r="A538" s="212"/>
      <c r="B538" s="253" t="s">
        <v>483</v>
      </c>
      <c r="C538" s="228"/>
      <c r="D538" s="229">
        <v>3</v>
      </c>
      <c r="E538" s="230">
        <v>4171.18</v>
      </c>
      <c r="F538" s="230"/>
      <c r="G538" s="230"/>
      <c r="H538" s="230">
        <f>D538*E538</f>
        <v>12513.54</v>
      </c>
      <c r="I538" s="61"/>
      <c r="J538" s="121"/>
      <c r="K538" s="120"/>
      <c r="M538" s="134"/>
      <c r="N538" s="134"/>
      <c r="O538" s="133"/>
    </row>
    <row r="539" spans="1:15" ht="12.75" customHeight="1">
      <c r="A539" s="212"/>
      <c r="B539" s="253" t="s">
        <v>668</v>
      </c>
      <c r="C539" s="228"/>
      <c r="D539" s="229">
        <v>1</v>
      </c>
      <c r="E539" s="230">
        <v>773.92</v>
      </c>
      <c r="F539" s="230"/>
      <c r="G539" s="230"/>
      <c r="H539" s="230"/>
      <c r="I539" s="61"/>
      <c r="J539" s="121"/>
      <c r="K539" s="120"/>
      <c r="M539" s="134"/>
      <c r="N539" s="134"/>
      <c r="O539" s="133"/>
    </row>
    <row r="540" spans="1:15" ht="12.75" customHeight="1">
      <c r="A540" s="517"/>
      <c r="B540" s="518"/>
      <c r="C540" s="519"/>
      <c r="D540" s="520"/>
      <c r="E540" s="521"/>
      <c r="F540" s="521"/>
      <c r="G540" s="522"/>
      <c r="H540" s="587" t="s">
        <v>765</v>
      </c>
      <c r="I540" s="587"/>
      <c r="J540" s="587"/>
      <c r="K540" s="120">
        <v>52424.65</v>
      </c>
      <c r="M540" s="134"/>
      <c r="N540" s="134"/>
      <c r="O540" s="133"/>
    </row>
    <row r="541" spans="1:15" ht="12.75" customHeight="1">
      <c r="A541" s="523"/>
      <c r="B541" s="524"/>
      <c r="C541" s="525"/>
      <c r="D541" s="526"/>
      <c r="E541" s="527"/>
      <c r="F541" s="527"/>
      <c r="G541" s="528"/>
      <c r="H541" s="587" t="s">
        <v>766</v>
      </c>
      <c r="I541" s="587"/>
      <c r="J541" s="587"/>
      <c r="K541" s="120">
        <f>K375-K540</f>
        <v>-1915.4199999999983</v>
      </c>
      <c r="M541" s="134"/>
      <c r="N541" s="134"/>
      <c r="O541" s="133"/>
    </row>
    <row r="542" spans="1:15" ht="12.75" customHeight="1">
      <c r="A542" s="66">
        <v>9</v>
      </c>
      <c r="B542" s="65" t="s">
        <v>87</v>
      </c>
      <c r="C542" s="64" t="s">
        <v>48</v>
      </c>
      <c r="D542" s="76"/>
      <c r="E542" s="75"/>
      <c r="F542" s="75"/>
      <c r="G542" s="75"/>
      <c r="H542" s="75"/>
      <c r="I542" s="75"/>
      <c r="J542" s="74"/>
      <c r="K542" s="63">
        <f>SUM(H544:H566)+SUM(H581:H617)</f>
        <v>204.67949999999999</v>
      </c>
      <c r="M542" s="134"/>
      <c r="N542" s="134"/>
      <c r="O542" s="133"/>
    </row>
    <row r="543" spans="1:15" ht="12.75" customHeight="1">
      <c r="A543" s="108"/>
      <c r="B543" s="105" t="s">
        <v>284</v>
      </c>
      <c r="C543" s="104"/>
      <c r="D543" s="73"/>
      <c r="E543" s="72"/>
      <c r="F543" s="72"/>
      <c r="G543" s="72"/>
      <c r="H543" s="72"/>
      <c r="I543" s="72"/>
      <c r="J543" s="124"/>
      <c r="K543" s="107"/>
      <c r="M543" s="134"/>
      <c r="N543" s="134"/>
      <c r="O543" s="133"/>
    </row>
    <row r="544" spans="1:15" ht="12.75" customHeight="1">
      <c r="A544" s="118"/>
      <c r="B544" s="119" t="s">
        <v>272</v>
      </c>
      <c r="C544" s="93"/>
      <c r="D544" s="69"/>
      <c r="E544" s="68"/>
      <c r="F544" s="68"/>
      <c r="G544" s="68"/>
      <c r="H544" s="68"/>
      <c r="I544" s="68"/>
      <c r="J544" s="114"/>
      <c r="K544" s="117"/>
      <c r="M544" s="134"/>
      <c r="N544" s="134"/>
      <c r="O544" s="133"/>
    </row>
    <row r="545" spans="1:15" ht="12.75" customHeight="1">
      <c r="A545" s="118"/>
      <c r="B545" s="94" t="s">
        <v>88</v>
      </c>
      <c r="C545" s="93"/>
      <c r="D545" s="69">
        <v>2</v>
      </c>
      <c r="E545" s="68">
        <f>1.5</f>
        <v>1.5</v>
      </c>
      <c r="F545" s="68">
        <f>1.5</f>
        <v>1.5</v>
      </c>
      <c r="G545" s="68">
        <v>0.4</v>
      </c>
      <c r="H545" s="68">
        <f>PRODUCT(D545:G545)</f>
        <v>1.8</v>
      </c>
      <c r="I545" s="68"/>
      <c r="J545" s="114"/>
      <c r="K545" s="117"/>
      <c r="M545" s="134"/>
      <c r="N545" s="134"/>
      <c r="O545" s="133"/>
    </row>
    <row r="546" spans="1:15" ht="12.75" customHeight="1">
      <c r="A546" s="118"/>
      <c r="B546" s="94" t="s">
        <v>89</v>
      </c>
      <c r="C546" s="93"/>
      <c r="D546" s="69">
        <v>-2</v>
      </c>
      <c r="E546" s="68">
        <v>1.1000000000000001</v>
      </c>
      <c r="F546" s="68">
        <v>1.1000000000000001</v>
      </c>
      <c r="G546" s="68">
        <v>0.3</v>
      </c>
      <c r="H546" s="68">
        <f>PRODUCT(D546:G546)</f>
        <v>-0.72600000000000009</v>
      </c>
      <c r="I546" s="68"/>
      <c r="J546" s="114"/>
      <c r="K546" s="117"/>
      <c r="M546" s="134"/>
      <c r="N546" s="134"/>
      <c r="O546" s="133"/>
    </row>
    <row r="547" spans="1:15" ht="12.75" customHeight="1">
      <c r="A547" s="118"/>
      <c r="B547" s="119" t="s">
        <v>273</v>
      </c>
      <c r="C547" s="93"/>
      <c r="D547" s="69"/>
      <c r="E547" s="68"/>
      <c r="F547" s="68"/>
      <c r="G547" s="68"/>
      <c r="H547" s="68"/>
      <c r="I547" s="68"/>
      <c r="J547" s="114"/>
      <c r="K547" s="117"/>
      <c r="M547" s="134"/>
      <c r="N547" s="134"/>
      <c r="O547" s="133"/>
    </row>
    <row r="548" spans="1:15" ht="12.75" customHeight="1">
      <c r="A548" s="118"/>
      <c r="B548" s="94" t="s">
        <v>88</v>
      </c>
      <c r="C548" s="93"/>
      <c r="D548" s="69">
        <v>2</v>
      </c>
      <c r="E548" s="68">
        <f>2</f>
        <v>2</v>
      </c>
      <c r="F548" s="68">
        <f>2</f>
        <v>2</v>
      </c>
      <c r="G548" s="68">
        <v>0.45</v>
      </c>
      <c r="H548" s="68">
        <f t="shared" ref="H548:H549" si="44">PRODUCT(D548:G548)</f>
        <v>3.6</v>
      </c>
      <c r="I548" s="68"/>
      <c r="J548" s="114"/>
      <c r="K548" s="117"/>
      <c r="M548" s="134"/>
      <c r="N548" s="134"/>
      <c r="O548" s="133"/>
    </row>
    <row r="549" spans="1:15" ht="12.75" customHeight="1">
      <c r="A549" s="118"/>
      <c r="B549" s="94" t="s">
        <v>89</v>
      </c>
      <c r="C549" s="93"/>
      <c r="D549" s="69">
        <v>-2</v>
      </c>
      <c r="E549" s="68">
        <v>1.1000000000000001</v>
      </c>
      <c r="F549" s="68">
        <v>1.1000000000000001</v>
      </c>
      <c r="G549" s="68">
        <v>0.3</v>
      </c>
      <c r="H549" s="68">
        <f t="shared" si="44"/>
        <v>-0.72600000000000009</v>
      </c>
      <c r="I549" s="68"/>
      <c r="J549" s="114"/>
      <c r="K549" s="117"/>
      <c r="M549" s="134"/>
      <c r="N549" s="134"/>
      <c r="O549" s="133"/>
    </row>
    <row r="550" spans="1:15" ht="12.75" customHeight="1">
      <c r="A550" s="118"/>
      <c r="B550" s="119" t="s">
        <v>274</v>
      </c>
      <c r="C550" s="93"/>
      <c r="D550" s="69"/>
      <c r="E550" s="68"/>
      <c r="F550" s="68"/>
      <c r="G550" s="68"/>
      <c r="H550" s="68"/>
      <c r="I550" s="68"/>
      <c r="J550" s="114"/>
      <c r="K550" s="117"/>
      <c r="M550" s="134"/>
      <c r="N550" s="134"/>
      <c r="O550" s="133"/>
    </row>
    <row r="551" spans="1:15" ht="12.75" customHeight="1">
      <c r="A551" s="118"/>
      <c r="B551" s="94" t="s">
        <v>88</v>
      </c>
      <c r="C551" s="93"/>
      <c r="D551" s="69">
        <v>2</v>
      </c>
      <c r="E551" s="68">
        <f>2.2</f>
        <v>2.2000000000000002</v>
      </c>
      <c r="F551" s="68">
        <f>2.2</f>
        <v>2.2000000000000002</v>
      </c>
      <c r="G551" s="68">
        <v>0.6</v>
      </c>
      <c r="H551" s="68">
        <f t="shared" ref="H551:H552" si="45">PRODUCT(D551:G551)</f>
        <v>5.8080000000000007</v>
      </c>
      <c r="I551" s="68"/>
      <c r="J551" s="114"/>
      <c r="K551" s="117"/>
      <c r="M551" s="134"/>
      <c r="N551" s="134"/>
      <c r="O551" s="133"/>
    </row>
    <row r="552" spans="1:15" ht="12.75" customHeight="1">
      <c r="A552" s="118"/>
      <c r="B552" s="94" t="s">
        <v>89</v>
      </c>
      <c r="C552" s="93"/>
      <c r="D552" s="69">
        <v>-2</v>
      </c>
      <c r="E552" s="68">
        <v>1.9</v>
      </c>
      <c r="F552" s="68">
        <v>1.9</v>
      </c>
      <c r="G552" s="68">
        <v>0.45</v>
      </c>
      <c r="H552" s="68">
        <f t="shared" si="45"/>
        <v>-3.2490000000000001</v>
      </c>
      <c r="I552" s="68"/>
      <c r="J552" s="114"/>
      <c r="K552" s="117"/>
      <c r="M552" s="134"/>
      <c r="N552" s="134"/>
      <c r="O552" s="133"/>
    </row>
    <row r="553" spans="1:15" ht="12.75" customHeight="1">
      <c r="A553" s="118"/>
      <c r="B553" s="119" t="s">
        <v>275</v>
      </c>
      <c r="C553" s="93"/>
      <c r="D553" s="69"/>
      <c r="E553" s="68"/>
      <c r="F553" s="68"/>
      <c r="G553" s="68"/>
      <c r="H553" s="68"/>
      <c r="I553" s="68"/>
      <c r="J553" s="114"/>
      <c r="K553" s="117"/>
      <c r="M553" s="134"/>
      <c r="N553" s="134"/>
      <c r="O553" s="133"/>
    </row>
    <row r="554" spans="1:15" ht="12.75" customHeight="1">
      <c r="A554" s="118"/>
      <c r="B554" s="94" t="s">
        <v>88</v>
      </c>
      <c r="C554" s="93"/>
      <c r="D554" s="69">
        <v>2</v>
      </c>
      <c r="E554" s="68">
        <f>2.6</f>
        <v>2.6</v>
      </c>
      <c r="F554" s="68">
        <f>2.6</f>
        <v>2.6</v>
      </c>
      <c r="G554" s="68">
        <v>0.6</v>
      </c>
      <c r="H554" s="68">
        <f t="shared" ref="H554:H555" si="46">PRODUCT(D554:G554)</f>
        <v>8.1120000000000001</v>
      </c>
      <c r="I554" s="68"/>
      <c r="J554" s="114"/>
      <c r="K554" s="117"/>
      <c r="M554" s="134"/>
      <c r="N554" s="134"/>
      <c r="O554" s="133"/>
    </row>
    <row r="555" spans="1:15" ht="12.75" customHeight="1">
      <c r="A555" s="118"/>
      <c r="B555" s="94" t="s">
        <v>89</v>
      </c>
      <c r="C555" s="93"/>
      <c r="D555" s="69">
        <v>-2</v>
      </c>
      <c r="E555" s="68">
        <v>1.5</v>
      </c>
      <c r="F555" s="68">
        <v>1.5</v>
      </c>
      <c r="G555" s="68">
        <v>0.4</v>
      </c>
      <c r="H555" s="68">
        <f t="shared" si="46"/>
        <v>-1.8</v>
      </c>
      <c r="I555" s="68"/>
      <c r="J555" s="114"/>
      <c r="K555" s="117"/>
      <c r="M555" s="134"/>
      <c r="N555" s="134"/>
      <c r="O555" s="133"/>
    </row>
    <row r="556" spans="1:15" ht="12.75" customHeight="1">
      <c r="A556" s="118"/>
      <c r="B556" s="119" t="s">
        <v>276</v>
      </c>
      <c r="C556" s="93"/>
      <c r="D556" s="69"/>
      <c r="E556" s="68"/>
      <c r="F556" s="68"/>
      <c r="G556" s="68"/>
      <c r="H556" s="68"/>
      <c r="I556" s="68"/>
      <c r="J556" s="114"/>
      <c r="K556" s="117"/>
      <c r="M556" s="134"/>
      <c r="N556" s="134"/>
      <c r="O556" s="133"/>
    </row>
    <row r="557" spans="1:15" ht="12.75" customHeight="1">
      <c r="A557" s="118"/>
      <c r="B557" s="94" t="s">
        <v>88</v>
      </c>
      <c r="C557" s="93"/>
      <c r="D557" s="69">
        <v>2</v>
      </c>
      <c r="E557" s="68">
        <f>2.2</f>
        <v>2.2000000000000002</v>
      </c>
      <c r="F557" s="68">
        <f>2.2</f>
        <v>2.2000000000000002</v>
      </c>
      <c r="G557" s="68">
        <v>0.55000000000000004</v>
      </c>
      <c r="H557" s="68">
        <f t="shared" ref="H557:H558" si="47">PRODUCT(D557:G557)</f>
        <v>5.3240000000000016</v>
      </c>
      <c r="I557" s="68"/>
      <c r="J557" s="114"/>
      <c r="K557" s="117"/>
      <c r="M557" s="134"/>
      <c r="N557" s="134"/>
      <c r="O557" s="133"/>
    </row>
    <row r="558" spans="1:15" ht="12.75" customHeight="1">
      <c r="A558" s="118"/>
      <c r="B558" s="94" t="s">
        <v>89</v>
      </c>
      <c r="C558" s="93"/>
      <c r="D558" s="69">
        <v>-2</v>
      </c>
      <c r="E558" s="68">
        <v>1.7</v>
      </c>
      <c r="F558" s="68">
        <v>1.7</v>
      </c>
      <c r="G558" s="68">
        <v>0.45</v>
      </c>
      <c r="H558" s="68">
        <f t="shared" si="47"/>
        <v>-2.601</v>
      </c>
      <c r="I558" s="68"/>
      <c r="J558" s="114"/>
      <c r="K558" s="117"/>
      <c r="M558" s="134"/>
      <c r="N558" s="134"/>
      <c r="O558" s="133"/>
    </row>
    <row r="559" spans="1:15" ht="12.75" customHeight="1">
      <c r="A559" s="118"/>
      <c r="B559" s="119" t="s">
        <v>97</v>
      </c>
      <c r="C559" s="93"/>
      <c r="D559" s="69"/>
      <c r="E559" s="68"/>
      <c r="F559" s="68"/>
      <c r="G559" s="68"/>
      <c r="H559" s="68"/>
      <c r="I559" s="68"/>
      <c r="J559" s="114"/>
      <c r="K559" s="117"/>
      <c r="M559" s="134"/>
      <c r="N559" s="134"/>
      <c r="O559" s="133"/>
    </row>
    <row r="560" spans="1:15" ht="12.75" customHeight="1">
      <c r="A560" s="118"/>
      <c r="B560" s="94" t="s">
        <v>88</v>
      </c>
      <c r="C560" s="93"/>
      <c r="D560" s="69">
        <v>1</v>
      </c>
      <c r="E560" s="68">
        <f>3.55</f>
        <v>3.55</v>
      </c>
      <c r="F560" s="68">
        <f>3.55</f>
        <v>3.55</v>
      </c>
      <c r="G560" s="68">
        <v>0.8</v>
      </c>
      <c r="H560" s="68">
        <f t="shared" ref="H560:H561" si="48">PRODUCT(D560:G560)</f>
        <v>10.082000000000001</v>
      </c>
      <c r="I560" s="68"/>
      <c r="J560" s="114"/>
      <c r="K560" s="117"/>
      <c r="M560" s="134"/>
      <c r="N560" s="134"/>
      <c r="O560" s="133"/>
    </row>
    <row r="561" spans="1:15" ht="12.75" customHeight="1">
      <c r="A561" s="118"/>
      <c r="B561" s="94" t="s">
        <v>89</v>
      </c>
      <c r="C561" s="93"/>
      <c r="D561" s="69">
        <v>-1</v>
      </c>
      <c r="E561" s="68">
        <v>2.75</v>
      </c>
      <c r="F561" s="68">
        <v>2.75</v>
      </c>
      <c r="G561" s="68">
        <v>0.7</v>
      </c>
      <c r="H561" s="68">
        <f t="shared" si="48"/>
        <v>-5.2937499999999993</v>
      </c>
      <c r="I561" s="68"/>
      <c r="J561" s="114"/>
      <c r="K561" s="117"/>
      <c r="M561" s="134"/>
      <c r="N561" s="134"/>
      <c r="O561" s="133"/>
    </row>
    <row r="562" spans="1:15" ht="12.75" customHeight="1">
      <c r="A562" s="118"/>
      <c r="B562" s="119" t="s">
        <v>282</v>
      </c>
      <c r="C562" s="93"/>
      <c r="D562" s="69"/>
      <c r="E562" s="68"/>
      <c r="F562" s="68"/>
      <c r="G562" s="68"/>
      <c r="H562" s="68"/>
      <c r="I562" s="68"/>
      <c r="J562" s="114"/>
      <c r="K562" s="117"/>
      <c r="M562" s="134"/>
      <c r="N562" s="134"/>
      <c r="O562" s="133"/>
    </row>
    <row r="563" spans="1:15" ht="12.75" customHeight="1">
      <c r="A563" s="118"/>
      <c r="B563" s="94" t="s">
        <v>88</v>
      </c>
      <c r="C563" s="93"/>
      <c r="D563" s="69">
        <v>1</v>
      </c>
      <c r="E563" s="68">
        <f>2.3</f>
        <v>2.2999999999999998</v>
      </c>
      <c r="F563" s="68">
        <f>2.3</f>
        <v>2.2999999999999998</v>
      </c>
      <c r="G563" s="68">
        <v>0.55000000000000004</v>
      </c>
      <c r="H563" s="68">
        <f t="shared" ref="H563:H564" si="49">PRODUCT(D563:G563)</f>
        <v>2.9095</v>
      </c>
      <c r="I563" s="68"/>
      <c r="J563" s="114"/>
      <c r="K563" s="117"/>
      <c r="M563" s="134"/>
      <c r="N563" s="134"/>
      <c r="O563" s="133"/>
    </row>
    <row r="564" spans="1:15" ht="12.75" customHeight="1">
      <c r="A564" s="118"/>
      <c r="B564" s="94" t="s">
        <v>89</v>
      </c>
      <c r="C564" s="93"/>
      <c r="D564" s="69">
        <v>-1</v>
      </c>
      <c r="E564" s="68">
        <v>1.7</v>
      </c>
      <c r="F564" s="68">
        <v>1.7</v>
      </c>
      <c r="G564" s="68">
        <v>0.45</v>
      </c>
      <c r="H564" s="68">
        <f t="shared" si="49"/>
        <v>-1.3005</v>
      </c>
      <c r="I564" s="68"/>
      <c r="J564" s="114"/>
      <c r="K564" s="117"/>
      <c r="M564" s="134"/>
      <c r="N564" s="134"/>
      <c r="O564" s="133"/>
    </row>
    <row r="565" spans="1:15" ht="12.75" customHeight="1">
      <c r="A565" s="118"/>
      <c r="B565" s="119" t="s">
        <v>283</v>
      </c>
      <c r="C565" s="93"/>
      <c r="D565" s="69"/>
      <c r="E565" s="68"/>
      <c r="F565" s="68"/>
      <c r="G565" s="68"/>
      <c r="H565" s="68"/>
      <c r="I565" s="68"/>
      <c r="J565" s="114"/>
      <c r="K565" s="117"/>
      <c r="M565" s="134"/>
      <c r="N565" s="134"/>
      <c r="O565" s="133"/>
    </row>
    <row r="566" spans="1:15" ht="12.75" customHeight="1" thickBot="1">
      <c r="A566" s="143"/>
      <c r="B566" s="147" t="s">
        <v>88</v>
      </c>
      <c r="C566" s="144"/>
      <c r="D566" s="95">
        <v>1</v>
      </c>
      <c r="E566" s="92">
        <f>3.4</f>
        <v>3.4</v>
      </c>
      <c r="F566" s="92">
        <f>3.4</f>
        <v>3.4</v>
      </c>
      <c r="G566" s="92">
        <v>0.75</v>
      </c>
      <c r="H566" s="92">
        <f t="shared" ref="H566:H581" si="50">PRODUCT(D566:G566)</f>
        <v>8.6699999999999982</v>
      </c>
      <c r="I566" s="92"/>
      <c r="J566" s="145"/>
      <c r="K566" s="146"/>
      <c r="M566" s="134"/>
      <c r="N566" s="134"/>
      <c r="O566" s="133"/>
    </row>
    <row r="567" spans="1:15" ht="12.75" customHeight="1" thickTop="1">
      <c r="A567" s="91"/>
      <c r="B567" s="90"/>
      <c r="C567" s="90"/>
      <c r="D567" s="90"/>
      <c r="E567" s="90"/>
      <c r="F567" s="90"/>
      <c r="G567" s="90"/>
      <c r="H567" s="90"/>
      <c r="I567" s="90"/>
      <c r="J567" s="90"/>
      <c r="K567" s="89"/>
      <c r="M567" s="134"/>
      <c r="N567" s="134"/>
      <c r="O567" s="133"/>
    </row>
    <row r="568" spans="1:15" ht="19.5" customHeight="1">
      <c r="A568" s="569" t="s">
        <v>29</v>
      </c>
      <c r="B568" s="570"/>
      <c r="C568" s="570"/>
      <c r="D568" s="570"/>
      <c r="E568" s="570"/>
      <c r="F568" s="570"/>
      <c r="G568" s="570"/>
      <c r="H568" s="570"/>
      <c r="I568" s="570"/>
      <c r="J568" s="570"/>
      <c r="K568" s="571"/>
      <c r="M568" s="134"/>
      <c r="N568" s="134"/>
      <c r="O568" s="133"/>
    </row>
    <row r="569" spans="1:15" ht="16.5" customHeight="1">
      <c r="A569" s="572" t="s">
        <v>69</v>
      </c>
      <c r="B569" s="573"/>
      <c r="C569" s="573"/>
      <c r="D569" s="573"/>
      <c r="E569" s="573"/>
      <c r="F569" s="573"/>
      <c r="G569" s="573"/>
      <c r="H569" s="573"/>
      <c r="I569" s="573"/>
      <c r="J569" s="573"/>
      <c r="K569" s="574"/>
      <c r="M569" s="134"/>
      <c r="N569" s="134"/>
      <c r="O569" s="133"/>
    </row>
    <row r="570" spans="1:15" ht="12.75" customHeight="1">
      <c r="A570" s="88"/>
      <c r="B570" s="85"/>
      <c r="C570" s="85"/>
      <c r="D570" s="85"/>
      <c r="E570" s="85"/>
      <c r="F570" s="85"/>
      <c r="G570" s="85"/>
      <c r="H570" s="85"/>
      <c r="I570" s="85"/>
      <c r="J570" s="85"/>
      <c r="K570" s="87"/>
      <c r="M570" s="134"/>
      <c r="N570" s="134"/>
      <c r="O570" s="133"/>
    </row>
    <row r="571" spans="1:15" ht="8.25" customHeight="1">
      <c r="A571" s="55"/>
      <c r="B571" s="86"/>
      <c r="C571" s="86"/>
      <c r="D571" s="86"/>
      <c r="E571" s="86"/>
      <c r="F571" s="86"/>
      <c r="G571" s="86"/>
      <c r="H571" s="86"/>
      <c r="I571" s="86"/>
      <c r="J571" s="86"/>
      <c r="K571" s="81"/>
      <c r="M571" s="134"/>
      <c r="N571" s="134"/>
      <c r="O571" s="133"/>
    </row>
    <row r="572" spans="1:15" ht="12.75" customHeight="1">
      <c r="A572" s="575" t="s">
        <v>68</v>
      </c>
      <c r="B572" s="576"/>
      <c r="C572" s="576"/>
      <c r="D572" s="576"/>
      <c r="E572" s="576"/>
      <c r="F572" s="576"/>
      <c r="G572" s="576"/>
      <c r="H572" s="576"/>
      <c r="I572" s="576"/>
      <c r="J572" s="576"/>
      <c r="K572" s="577"/>
      <c r="M572" s="134"/>
      <c r="N572" s="134"/>
      <c r="O572" s="133"/>
    </row>
    <row r="573" spans="1:15" ht="6.75" customHeight="1">
      <c r="A573" s="55"/>
      <c r="B573" s="86"/>
      <c r="C573" s="86"/>
      <c r="D573" s="86"/>
      <c r="E573" s="86"/>
      <c r="F573" s="86"/>
      <c r="G573" s="86"/>
      <c r="H573" s="86"/>
      <c r="I573" s="86"/>
      <c r="J573" s="85"/>
      <c r="K573" s="81"/>
      <c r="M573" s="134"/>
      <c r="N573" s="134"/>
      <c r="O573" s="133"/>
    </row>
    <row r="574" spans="1:15" ht="12.75" customHeight="1">
      <c r="A574" s="84"/>
      <c r="B574" s="83" t="s">
        <v>11</v>
      </c>
      <c r="C574" s="578" t="s">
        <v>361</v>
      </c>
      <c r="D574" s="579"/>
      <c r="E574" s="579"/>
      <c r="F574" s="579"/>
      <c r="G574" s="579"/>
      <c r="H574" s="579"/>
      <c r="I574" s="579"/>
      <c r="J574" s="580"/>
      <c r="K574" s="81"/>
      <c r="M574" s="134"/>
      <c r="N574" s="134"/>
      <c r="O574" s="133"/>
    </row>
    <row r="575" spans="1:15" ht="6.75" customHeight="1">
      <c r="A575" s="80"/>
      <c r="K575" s="81"/>
      <c r="M575" s="134"/>
      <c r="N575" s="134"/>
      <c r="O575" s="133"/>
    </row>
    <row r="576" spans="1:15" ht="12.75" customHeight="1">
      <c r="A576" s="80"/>
      <c r="B576" s="82" t="s">
        <v>67</v>
      </c>
      <c r="C576" s="581" t="s">
        <v>66</v>
      </c>
      <c r="D576" s="582"/>
      <c r="E576" s="582"/>
      <c r="F576" s="582"/>
      <c r="G576" s="582"/>
      <c r="H576" s="582"/>
      <c r="I576" s="582"/>
      <c r="J576" s="583"/>
      <c r="K576" s="81"/>
      <c r="M576" s="134"/>
      <c r="N576" s="134"/>
      <c r="O576" s="133"/>
    </row>
    <row r="577" spans="1:15" ht="9" customHeight="1">
      <c r="A577" s="80"/>
      <c r="B577" s="79"/>
      <c r="D577" s="78"/>
      <c r="E577" s="78"/>
      <c r="F577" s="78"/>
      <c r="G577" s="78"/>
      <c r="H577" s="78"/>
      <c r="I577" s="78"/>
      <c r="K577" s="77"/>
      <c r="M577" s="134"/>
      <c r="N577" s="134"/>
      <c r="O577" s="133"/>
    </row>
    <row r="578" spans="1:15" ht="12.75" customHeight="1">
      <c r="A578" s="584" t="s">
        <v>84</v>
      </c>
      <c r="B578" s="585" t="s">
        <v>83</v>
      </c>
      <c r="C578" s="585" t="s">
        <v>82</v>
      </c>
      <c r="D578" s="585" t="s">
        <v>81</v>
      </c>
      <c r="E578" s="564" t="s">
        <v>80</v>
      </c>
      <c r="F578" s="564"/>
      <c r="G578" s="564"/>
      <c r="H578" s="564" t="s">
        <v>79</v>
      </c>
      <c r="I578" s="564"/>
      <c r="J578" s="564"/>
      <c r="K578" s="565" t="s">
        <v>58</v>
      </c>
      <c r="M578" s="134"/>
      <c r="N578" s="134"/>
      <c r="O578" s="133"/>
    </row>
    <row r="579" spans="1:15" ht="12.75" customHeight="1">
      <c r="A579" s="584"/>
      <c r="B579" s="585"/>
      <c r="C579" s="585"/>
      <c r="D579" s="585"/>
      <c r="E579" s="125" t="s">
        <v>78</v>
      </c>
      <c r="F579" s="125" t="s">
        <v>77</v>
      </c>
      <c r="G579" s="125" t="s">
        <v>76</v>
      </c>
      <c r="H579" s="125" t="s">
        <v>75</v>
      </c>
      <c r="I579" s="125" t="s">
        <v>74</v>
      </c>
      <c r="J579" s="125" t="s">
        <v>73</v>
      </c>
      <c r="K579" s="565"/>
      <c r="M579" s="134"/>
      <c r="N579" s="134"/>
      <c r="O579" s="133"/>
    </row>
    <row r="580" spans="1:15" ht="12.75" customHeight="1">
      <c r="A580" s="584"/>
      <c r="B580" s="585"/>
      <c r="C580" s="585"/>
      <c r="D580" s="585"/>
      <c r="E580" s="125" t="s">
        <v>70</v>
      </c>
      <c r="F580" s="125" t="s">
        <v>70</v>
      </c>
      <c r="G580" s="125" t="s">
        <v>70</v>
      </c>
      <c r="H580" s="125" t="s">
        <v>72</v>
      </c>
      <c r="I580" s="125" t="s">
        <v>71</v>
      </c>
      <c r="J580" s="125" t="s">
        <v>70</v>
      </c>
      <c r="K580" s="565"/>
      <c r="M580" s="134"/>
      <c r="N580" s="134"/>
      <c r="O580" s="133"/>
    </row>
    <row r="581" spans="1:15" ht="12.75" customHeight="1">
      <c r="A581" s="118"/>
      <c r="B581" s="94" t="s">
        <v>89</v>
      </c>
      <c r="C581" s="93"/>
      <c r="D581" s="69">
        <v>-1</v>
      </c>
      <c r="E581" s="68">
        <v>2.2999999999999998</v>
      </c>
      <c r="F581" s="68">
        <v>2.2999999999999998</v>
      </c>
      <c r="G581" s="68">
        <v>0.6</v>
      </c>
      <c r="H581" s="68">
        <f t="shared" si="50"/>
        <v>-3.1739999999999995</v>
      </c>
      <c r="I581" s="68"/>
      <c r="J581" s="114"/>
      <c r="K581" s="117"/>
      <c r="M581" s="134"/>
      <c r="N581" s="134"/>
      <c r="O581" s="133"/>
    </row>
    <row r="582" spans="1:15" ht="12.75" customHeight="1">
      <c r="A582" s="118"/>
      <c r="B582" s="119" t="s">
        <v>277</v>
      </c>
      <c r="C582" s="93"/>
      <c r="D582" s="69"/>
      <c r="E582" s="68"/>
      <c r="F582" s="68"/>
      <c r="G582" s="68"/>
      <c r="H582" s="68"/>
      <c r="I582" s="68"/>
      <c r="J582" s="114"/>
      <c r="K582" s="117"/>
      <c r="M582" s="134"/>
      <c r="N582" s="134"/>
      <c r="O582" s="133"/>
    </row>
    <row r="583" spans="1:15" ht="12.75" customHeight="1">
      <c r="A583" s="118"/>
      <c r="B583" s="94" t="s">
        <v>88</v>
      </c>
      <c r="C583" s="93"/>
      <c r="D583" s="69">
        <v>1</v>
      </c>
      <c r="E583" s="68">
        <f>1.6</f>
        <v>1.6</v>
      </c>
      <c r="F583" s="68">
        <f>1.6</f>
        <v>1.6</v>
      </c>
      <c r="G583" s="68">
        <v>0.4</v>
      </c>
      <c r="H583" s="68">
        <f t="shared" ref="H583:H584" si="51">PRODUCT(D583:G583)</f>
        <v>1.0240000000000002</v>
      </c>
      <c r="I583" s="68"/>
      <c r="J583" s="114"/>
      <c r="K583" s="117"/>
      <c r="M583" s="134"/>
      <c r="N583" s="134"/>
      <c r="O583" s="133"/>
    </row>
    <row r="584" spans="1:15" ht="12.75" customHeight="1">
      <c r="A584" s="118"/>
      <c r="B584" s="94" t="s">
        <v>89</v>
      </c>
      <c r="C584" s="93"/>
      <c r="D584" s="69">
        <v>-1</v>
      </c>
      <c r="E584" s="68">
        <v>1.2</v>
      </c>
      <c r="F584" s="68">
        <v>1.2</v>
      </c>
      <c r="G584" s="68">
        <v>0.3</v>
      </c>
      <c r="H584" s="68">
        <f t="shared" si="51"/>
        <v>-0.432</v>
      </c>
      <c r="I584" s="68"/>
      <c r="J584" s="114"/>
      <c r="K584" s="117"/>
      <c r="M584" s="134"/>
      <c r="N584" s="134"/>
      <c r="O584" s="133"/>
    </row>
    <row r="585" spans="1:15" ht="12.75" customHeight="1">
      <c r="A585" s="118"/>
      <c r="B585" s="119" t="s">
        <v>278</v>
      </c>
      <c r="C585" s="93"/>
      <c r="D585" s="69"/>
      <c r="E585" s="68"/>
      <c r="F585" s="68"/>
      <c r="G585" s="68"/>
      <c r="H585" s="68"/>
      <c r="I585" s="68"/>
      <c r="J585" s="114"/>
      <c r="K585" s="117"/>
      <c r="M585" s="134"/>
      <c r="N585" s="134"/>
      <c r="O585" s="133"/>
    </row>
    <row r="586" spans="1:15" ht="12.75" customHeight="1">
      <c r="A586" s="118"/>
      <c r="B586" s="94" t="s">
        <v>88</v>
      </c>
      <c r="C586" s="93"/>
      <c r="D586" s="69">
        <v>2</v>
      </c>
      <c r="E586" s="68">
        <f>2.2</f>
        <v>2.2000000000000002</v>
      </c>
      <c r="F586" s="68">
        <f>2.2</f>
        <v>2.2000000000000002</v>
      </c>
      <c r="G586" s="68">
        <v>0.55000000000000004</v>
      </c>
      <c r="H586" s="68">
        <f t="shared" ref="H586:H587" si="52">PRODUCT(D586:G586)</f>
        <v>5.3240000000000016</v>
      </c>
      <c r="I586" s="68"/>
      <c r="J586" s="114"/>
      <c r="K586" s="117"/>
      <c r="M586" s="134"/>
      <c r="N586" s="134"/>
      <c r="O586" s="133"/>
    </row>
    <row r="587" spans="1:15" ht="12.75" customHeight="1">
      <c r="A587" s="118"/>
      <c r="B587" s="94" t="s">
        <v>89</v>
      </c>
      <c r="C587" s="93"/>
      <c r="D587" s="69">
        <v>-2</v>
      </c>
      <c r="E587" s="68">
        <v>1.6</v>
      </c>
      <c r="F587" s="68">
        <v>1.6</v>
      </c>
      <c r="G587" s="68">
        <v>0.4</v>
      </c>
      <c r="H587" s="68">
        <f t="shared" si="52"/>
        <v>-2.0480000000000005</v>
      </c>
      <c r="I587" s="68"/>
      <c r="J587" s="114"/>
      <c r="K587" s="117"/>
      <c r="M587" s="134"/>
      <c r="N587" s="134"/>
      <c r="O587" s="133"/>
    </row>
    <row r="588" spans="1:15" ht="12.75" customHeight="1">
      <c r="A588" s="118"/>
      <c r="B588" s="119" t="s">
        <v>279</v>
      </c>
      <c r="C588" s="93"/>
      <c r="D588" s="69"/>
      <c r="E588" s="68"/>
      <c r="F588" s="68"/>
      <c r="G588" s="68"/>
      <c r="H588" s="68"/>
      <c r="I588" s="68"/>
      <c r="J588" s="114"/>
      <c r="K588" s="117"/>
      <c r="M588" s="134"/>
      <c r="N588" s="134"/>
      <c r="O588" s="133"/>
    </row>
    <row r="589" spans="1:15" ht="12.75" customHeight="1">
      <c r="A589" s="118"/>
      <c r="B589" s="94" t="s">
        <v>88</v>
      </c>
      <c r="C589" s="93"/>
      <c r="D589" s="69">
        <v>1</v>
      </c>
      <c r="E589" s="68">
        <f>2.45</f>
        <v>2.4500000000000002</v>
      </c>
      <c r="F589" s="68">
        <f>2.45</f>
        <v>2.4500000000000002</v>
      </c>
      <c r="G589" s="68">
        <v>0.6</v>
      </c>
      <c r="H589" s="68">
        <f t="shared" ref="H589:H590" si="53">PRODUCT(D589:G589)</f>
        <v>3.6015000000000006</v>
      </c>
      <c r="I589" s="68"/>
      <c r="J589" s="114"/>
      <c r="K589" s="117"/>
      <c r="M589" s="134"/>
      <c r="N589" s="134"/>
      <c r="O589" s="133"/>
    </row>
    <row r="590" spans="1:15" ht="12.75" customHeight="1">
      <c r="A590" s="118"/>
      <c r="B590" s="94" t="s">
        <v>89</v>
      </c>
      <c r="C590" s="93"/>
      <c r="D590" s="69">
        <v>-1</v>
      </c>
      <c r="E590" s="68">
        <v>1.8</v>
      </c>
      <c r="F590" s="68">
        <v>1.8</v>
      </c>
      <c r="G590" s="68">
        <v>0.5</v>
      </c>
      <c r="H590" s="68">
        <f t="shared" si="53"/>
        <v>-1.62</v>
      </c>
      <c r="I590" s="68"/>
      <c r="J590" s="114"/>
      <c r="K590" s="117"/>
      <c r="M590" s="134"/>
      <c r="N590" s="134"/>
      <c r="O590" s="133"/>
    </row>
    <row r="591" spans="1:15" ht="12.75" customHeight="1">
      <c r="A591" s="118"/>
      <c r="B591" s="119" t="s">
        <v>103</v>
      </c>
      <c r="C591" s="93"/>
      <c r="D591" s="69"/>
      <c r="E591" s="68"/>
      <c r="F591" s="68"/>
      <c r="G591" s="68"/>
      <c r="H591" s="68"/>
      <c r="I591" s="68"/>
      <c r="J591" s="114"/>
      <c r="K591" s="117"/>
      <c r="M591" s="134"/>
      <c r="N591" s="134"/>
      <c r="O591" s="133"/>
    </row>
    <row r="592" spans="1:15" ht="12.75" customHeight="1">
      <c r="A592" s="118"/>
      <c r="B592" s="94" t="s">
        <v>88</v>
      </c>
      <c r="C592" s="93"/>
      <c r="D592" s="69">
        <v>2</v>
      </c>
      <c r="E592" s="68">
        <f>2.9</f>
        <v>2.9</v>
      </c>
      <c r="F592" s="68">
        <f>2.9</f>
        <v>2.9</v>
      </c>
      <c r="G592" s="68">
        <v>0.65</v>
      </c>
      <c r="H592" s="68">
        <f t="shared" ref="H592:H593" si="54">PRODUCT(D592:G592)</f>
        <v>10.933</v>
      </c>
      <c r="I592" s="68"/>
      <c r="J592" s="114"/>
      <c r="K592" s="117"/>
      <c r="M592" s="134"/>
      <c r="N592" s="134"/>
      <c r="O592" s="133"/>
    </row>
    <row r="593" spans="1:15" ht="12.75" customHeight="1">
      <c r="A593" s="118"/>
      <c r="B593" s="94" t="s">
        <v>89</v>
      </c>
      <c r="C593" s="93"/>
      <c r="D593" s="69">
        <v>-2</v>
      </c>
      <c r="E593" s="68">
        <v>2.15</v>
      </c>
      <c r="F593" s="68">
        <v>2.15</v>
      </c>
      <c r="G593" s="68">
        <v>0.55000000000000004</v>
      </c>
      <c r="H593" s="68">
        <f t="shared" si="54"/>
        <v>-5.0847499999999997</v>
      </c>
      <c r="I593" s="68"/>
      <c r="J593" s="114"/>
      <c r="K593" s="117"/>
      <c r="M593" s="134"/>
      <c r="N593" s="134"/>
      <c r="O593" s="133"/>
    </row>
    <row r="594" spans="1:15" ht="12.75" customHeight="1">
      <c r="A594" s="118"/>
      <c r="B594" s="119" t="s">
        <v>104</v>
      </c>
      <c r="C594" s="93"/>
      <c r="D594" s="69"/>
      <c r="E594" s="68"/>
      <c r="F594" s="68"/>
      <c r="G594" s="68"/>
      <c r="H594" s="68"/>
      <c r="I594" s="68"/>
      <c r="J594" s="114"/>
      <c r="K594" s="117"/>
      <c r="M594" s="134"/>
      <c r="N594" s="134"/>
      <c r="O594" s="133"/>
    </row>
    <row r="595" spans="1:15" ht="12.75" customHeight="1">
      <c r="A595" s="118"/>
      <c r="B595" s="94" t="s">
        <v>88</v>
      </c>
      <c r="C595" s="93"/>
      <c r="D595" s="69">
        <v>2</v>
      </c>
      <c r="E595" s="68">
        <f>3.3</f>
        <v>3.3</v>
      </c>
      <c r="F595" s="68">
        <f>3.3</f>
        <v>3.3</v>
      </c>
      <c r="G595" s="68">
        <v>0.8</v>
      </c>
      <c r="H595" s="68">
        <f t="shared" ref="H595:H596" si="55">PRODUCT(D595:G595)</f>
        <v>17.423999999999999</v>
      </c>
      <c r="I595" s="68"/>
      <c r="J595" s="114"/>
      <c r="K595" s="117"/>
      <c r="M595" s="134"/>
      <c r="N595" s="134"/>
      <c r="O595" s="133"/>
    </row>
    <row r="596" spans="1:15" ht="12.75" customHeight="1">
      <c r="A596" s="118"/>
      <c r="B596" s="94" t="s">
        <v>89</v>
      </c>
      <c r="C596" s="93"/>
      <c r="D596" s="69">
        <v>-2</v>
      </c>
      <c r="E596" s="68">
        <v>2.75</v>
      </c>
      <c r="F596" s="68">
        <v>2.75</v>
      </c>
      <c r="G596" s="68">
        <v>0.7</v>
      </c>
      <c r="H596" s="68">
        <f t="shared" si="55"/>
        <v>-10.587499999999999</v>
      </c>
      <c r="I596" s="68"/>
      <c r="J596" s="114"/>
      <c r="K596" s="117"/>
      <c r="M596" s="134"/>
      <c r="N596" s="134"/>
      <c r="O596" s="133"/>
    </row>
    <row r="597" spans="1:15" ht="12.75" customHeight="1">
      <c r="A597" s="116"/>
      <c r="B597" s="165" t="s">
        <v>280</v>
      </c>
      <c r="C597" s="162"/>
      <c r="D597" s="163"/>
      <c r="E597" s="67"/>
      <c r="F597" s="67"/>
      <c r="G597" s="67"/>
      <c r="H597" s="67"/>
      <c r="I597" s="67"/>
      <c r="J597" s="128"/>
      <c r="K597" s="164"/>
      <c r="M597" s="134"/>
      <c r="N597" s="134"/>
      <c r="O597" s="133"/>
    </row>
    <row r="598" spans="1:15" ht="12.75" customHeight="1">
      <c r="A598" s="118"/>
      <c r="B598" s="94" t="s">
        <v>88</v>
      </c>
      <c r="C598" s="93"/>
      <c r="D598" s="69">
        <v>1</v>
      </c>
      <c r="E598" s="68">
        <f>1.9</f>
        <v>1.9</v>
      </c>
      <c r="F598" s="68">
        <f>1.9</f>
        <v>1.9</v>
      </c>
      <c r="G598" s="68">
        <v>0.5</v>
      </c>
      <c r="H598" s="68">
        <f t="shared" ref="H598:H599" si="56">PRODUCT(D598:G598)</f>
        <v>1.8049999999999999</v>
      </c>
      <c r="I598" s="68"/>
      <c r="J598" s="114"/>
      <c r="K598" s="117"/>
      <c r="M598" s="134"/>
      <c r="N598" s="134"/>
      <c r="O598" s="133"/>
    </row>
    <row r="599" spans="1:15" ht="12.75" customHeight="1">
      <c r="A599" s="118"/>
      <c r="B599" s="94" t="s">
        <v>89</v>
      </c>
      <c r="C599" s="93"/>
      <c r="D599" s="69">
        <v>-1</v>
      </c>
      <c r="E599" s="68">
        <v>1.6</v>
      </c>
      <c r="F599" s="68">
        <v>1.6</v>
      </c>
      <c r="G599" s="68">
        <v>0.4</v>
      </c>
      <c r="H599" s="68">
        <f t="shared" si="56"/>
        <v>-1.0240000000000002</v>
      </c>
      <c r="I599" s="68"/>
      <c r="J599" s="114"/>
      <c r="K599" s="117"/>
      <c r="M599" s="134"/>
      <c r="N599" s="134"/>
      <c r="O599" s="133"/>
    </row>
    <row r="600" spans="1:15" ht="12.75" customHeight="1">
      <c r="A600" s="118"/>
      <c r="B600" s="119" t="s">
        <v>281</v>
      </c>
      <c r="C600" s="93"/>
      <c r="D600" s="69"/>
      <c r="E600" s="68"/>
      <c r="F600" s="68"/>
      <c r="G600" s="68"/>
      <c r="H600" s="68"/>
      <c r="I600" s="68"/>
      <c r="J600" s="114"/>
      <c r="K600" s="117"/>
      <c r="M600" s="134"/>
      <c r="N600" s="134"/>
      <c r="O600" s="133"/>
    </row>
    <row r="601" spans="1:15" ht="12.75" customHeight="1">
      <c r="A601" s="118"/>
      <c r="B601" s="94" t="s">
        <v>88</v>
      </c>
      <c r="C601" s="93"/>
      <c r="D601" s="69">
        <v>1</v>
      </c>
      <c r="E601" s="68">
        <f>1.9</f>
        <v>1.9</v>
      </c>
      <c r="F601" s="68">
        <f>1.9</f>
        <v>1.9</v>
      </c>
      <c r="G601" s="68">
        <v>0.5</v>
      </c>
      <c r="H601" s="68">
        <f t="shared" ref="H601:H602" si="57">PRODUCT(D601:G601)</f>
        <v>1.8049999999999999</v>
      </c>
      <c r="I601" s="68"/>
      <c r="J601" s="114"/>
      <c r="K601" s="117"/>
      <c r="M601" s="134"/>
      <c r="N601" s="134"/>
      <c r="O601" s="133"/>
    </row>
    <row r="602" spans="1:15" ht="12.75" customHeight="1">
      <c r="A602" s="118"/>
      <c r="B602" s="94" t="s">
        <v>89</v>
      </c>
      <c r="C602" s="93"/>
      <c r="D602" s="69">
        <v>-1</v>
      </c>
      <c r="E602" s="68">
        <v>1</v>
      </c>
      <c r="F602" s="68">
        <v>1</v>
      </c>
      <c r="G602" s="68">
        <v>0.25</v>
      </c>
      <c r="H602" s="68">
        <f t="shared" si="57"/>
        <v>-0.25</v>
      </c>
      <c r="I602" s="68"/>
      <c r="J602" s="114"/>
      <c r="K602" s="117"/>
      <c r="M602" s="134"/>
      <c r="N602" s="134"/>
      <c r="O602" s="133"/>
    </row>
    <row r="603" spans="1:15" ht="12.75" customHeight="1">
      <c r="A603" s="118"/>
      <c r="B603" s="119" t="s">
        <v>105</v>
      </c>
      <c r="C603" s="93"/>
      <c r="D603" s="69"/>
      <c r="E603" s="68"/>
      <c r="F603" s="68"/>
      <c r="G603" s="68"/>
      <c r="H603" s="68"/>
      <c r="I603" s="68"/>
      <c r="J603" s="114"/>
      <c r="K603" s="117"/>
      <c r="M603" s="134"/>
      <c r="N603" s="134"/>
      <c r="O603" s="133"/>
    </row>
    <row r="604" spans="1:15" ht="12.75" customHeight="1">
      <c r="A604" s="118"/>
      <c r="B604" s="94" t="s">
        <v>88</v>
      </c>
      <c r="C604" s="93"/>
      <c r="D604" s="69">
        <v>1</v>
      </c>
      <c r="E604" s="68">
        <f>2.8</f>
        <v>2.8</v>
      </c>
      <c r="F604" s="68">
        <f>2.8</f>
        <v>2.8</v>
      </c>
      <c r="G604" s="68">
        <v>0.6</v>
      </c>
      <c r="H604" s="68">
        <f t="shared" ref="H604:H605" si="58">PRODUCT(D604:G604)</f>
        <v>4.7039999999999988</v>
      </c>
      <c r="I604" s="68"/>
      <c r="J604" s="114"/>
      <c r="K604" s="117"/>
      <c r="M604" s="134"/>
      <c r="N604" s="134"/>
      <c r="O604" s="133"/>
    </row>
    <row r="605" spans="1:15" ht="12.75" customHeight="1">
      <c r="A605" s="115"/>
      <c r="B605" s="111" t="s">
        <v>89</v>
      </c>
      <c r="C605" s="140"/>
      <c r="D605" s="71">
        <v>-1</v>
      </c>
      <c r="E605" s="70">
        <v>2.1</v>
      </c>
      <c r="F605" s="70">
        <v>2.1</v>
      </c>
      <c r="G605" s="70">
        <v>0.5</v>
      </c>
      <c r="H605" s="70">
        <f t="shared" si="58"/>
        <v>-2.2050000000000001</v>
      </c>
      <c r="I605" s="70"/>
      <c r="J605" s="141"/>
      <c r="K605" s="113"/>
      <c r="M605" s="134"/>
      <c r="N605" s="134"/>
      <c r="O605" s="133"/>
    </row>
    <row r="606" spans="1:15" ht="12.75" customHeight="1">
      <c r="A606" s="118"/>
      <c r="B606" s="119" t="s">
        <v>90</v>
      </c>
      <c r="C606" s="93"/>
      <c r="D606" s="69"/>
      <c r="E606" s="68"/>
      <c r="F606" s="68"/>
      <c r="G606" s="68"/>
      <c r="H606" s="68"/>
      <c r="I606" s="68"/>
      <c r="J606" s="114"/>
      <c r="K606" s="117"/>
      <c r="M606" s="134"/>
      <c r="N606" s="134"/>
      <c r="O606" s="133"/>
    </row>
    <row r="607" spans="1:15" ht="12.75" customHeight="1">
      <c r="A607" s="118"/>
      <c r="B607" s="119" t="s">
        <v>92</v>
      </c>
      <c r="C607" s="93"/>
      <c r="D607" s="69">
        <v>3</v>
      </c>
      <c r="E607" s="68">
        <v>2.7</v>
      </c>
      <c r="F607" s="68">
        <v>2.7</v>
      </c>
      <c r="G607" s="68">
        <v>0.6</v>
      </c>
      <c r="H607" s="68">
        <f>PRODUCT(D607:G607)</f>
        <v>13.122000000000002</v>
      </c>
      <c r="I607" s="68"/>
      <c r="J607" s="114"/>
      <c r="K607" s="117"/>
      <c r="M607" s="134"/>
      <c r="N607" s="134"/>
      <c r="O607" s="133"/>
    </row>
    <row r="608" spans="1:15" ht="12.75" customHeight="1">
      <c r="A608" s="118"/>
      <c r="B608" s="136" t="s">
        <v>93</v>
      </c>
      <c r="C608" s="93"/>
      <c r="D608" s="69">
        <v>3</v>
      </c>
      <c r="E608" s="68">
        <v>3.2</v>
      </c>
      <c r="F608" s="68">
        <v>3.2</v>
      </c>
      <c r="G608" s="68">
        <v>0.7</v>
      </c>
      <c r="H608" s="68">
        <f t="shared" ref="H608:H617" si="59">PRODUCT(D608:G608)</f>
        <v>21.504000000000001</v>
      </c>
      <c r="I608" s="68"/>
      <c r="J608" s="114"/>
      <c r="K608" s="117"/>
      <c r="M608" s="134"/>
      <c r="N608" s="134"/>
      <c r="O608" s="133"/>
    </row>
    <row r="609" spans="1:15" ht="12.75" customHeight="1">
      <c r="A609" s="118"/>
      <c r="B609" s="119" t="s">
        <v>94</v>
      </c>
      <c r="C609" s="93"/>
      <c r="D609" s="69">
        <v>3</v>
      </c>
      <c r="E609" s="68">
        <v>2.7</v>
      </c>
      <c r="F609" s="68">
        <v>2.7</v>
      </c>
      <c r="G609" s="68">
        <v>0.6</v>
      </c>
      <c r="H609" s="68">
        <f t="shared" si="59"/>
        <v>13.122000000000002</v>
      </c>
      <c r="I609" s="68"/>
      <c r="J609" s="114"/>
      <c r="K609" s="117"/>
      <c r="M609" s="134"/>
      <c r="N609" s="134"/>
      <c r="O609" s="133"/>
    </row>
    <row r="610" spans="1:15" ht="12.75" customHeight="1">
      <c r="A610" s="118"/>
      <c r="B610" s="119" t="s">
        <v>95</v>
      </c>
      <c r="C610" s="93"/>
      <c r="D610" s="69">
        <v>4</v>
      </c>
      <c r="E610" s="68">
        <v>3.3</v>
      </c>
      <c r="F610" s="68">
        <v>3.3</v>
      </c>
      <c r="G610" s="68">
        <v>0.75</v>
      </c>
      <c r="H610" s="68">
        <f t="shared" si="59"/>
        <v>32.669999999999995</v>
      </c>
      <c r="I610" s="68"/>
      <c r="J610" s="114"/>
      <c r="K610" s="117"/>
      <c r="M610" s="134"/>
      <c r="N610" s="134"/>
      <c r="O610" s="133"/>
    </row>
    <row r="611" spans="1:15" ht="12.75" customHeight="1">
      <c r="A611" s="118"/>
      <c r="B611" s="136" t="s">
        <v>96</v>
      </c>
      <c r="C611" s="93"/>
      <c r="D611" s="69">
        <v>3</v>
      </c>
      <c r="E611" s="68">
        <v>3.2</v>
      </c>
      <c r="F611" s="68">
        <v>3.2</v>
      </c>
      <c r="G611" s="68">
        <v>0.7</v>
      </c>
      <c r="H611" s="68">
        <f t="shared" si="59"/>
        <v>21.504000000000001</v>
      </c>
      <c r="I611" s="68"/>
      <c r="J611" s="114"/>
      <c r="K611" s="117"/>
      <c r="M611" s="134"/>
      <c r="N611" s="134"/>
      <c r="O611" s="133"/>
    </row>
    <row r="612" spans="1:15" ht="12.75" customHeight="1">
      <c r="A612" s="118"/>
      <c r="B612" s="119" t="s">
        <v>97</v>
      </c>
      <c r="C612" s="93"/>
      <c r="D612" s="69">
        <v>5</v>
      </c>
      <c r="E612" s="68">
        <v>1.4</v>
      </c>
      <c r="F612" s="68">
        <v>1.4</v>
      </c>
      <c r="G612" s="68">
        <v>0.3</v>
      </c>
      <c r="H612" s="68">
        <f t="shared" si="59"/>
        <v>2.9399999999999995</v>
      </c>
      <c r="I612" s="68"/>
      <c r="J612" s="114"/>
      <c r="K612" s="117"/>
      <c r="M612" s="134"/>
      <c r="N612" s="134"/>
      <c r="O612" s="133"/>
    </row>
    <row r="613" spans="1:15" ht="12.75" customHeight="1">
      <c r="A613" s="118"/>
      <c r="B613" s="119" t="s">
        <v>98</v>
      </c>
      <c r="C613" s="93"/>
      <c r="D613" s="69">
        <v>2</v>
      </c>
      <c r="E613" s="68">
        <v>2.2000000000000002</v>
      </c>
      <c r="F613" s="68">
        <v>2.2000000000000002</v>
      </c>
      <c r="G613" s="68">
        <v>0.5</v>
      </c>
      <c r="H613" s="68">
        <f t="shared" si="59"/>
        <v>4.8400000000000007</v>
      </c>
      <c r="I613" s="68"/>
      <c r="J613" s="114"/>
      <c r="K613" s="117"/>
      <c r="M613" s="134"/>
      <c r="N613" s="134"/>
      <c r="O613" s="133"/>
    </row>
    <row r="614" spans="1:15" ht="12.75" customHeight="1">
      <c r="A614" s="118"/>
      <c r="B614" s="119" t="s">
        <v>99</v>
      </c>
      <c r="C614" s="93"/>
      <c r="D614" s="69">
        <v>4</v>
      </c>
      <c r="E614" s="68">
        <v>2.5</v>
      </c>
      <c r="F614" s="68">
        <v>2.5</v>
      </c>
      <c r="G614" s="68">
        <v>0.55000000000000004</v>
      </c>
      <c r="H614" s="68">
        <f t="shared" si="59"/>
        <v>13.750000000000002</v>
      </c>
      <c r="I614" s="68"/>
      <c r="J614" s="114"/>
      <c r="K614" s="117"/>
      <c r="M614" s="134"/>
      <c r="N614" s="134"/>
      <c r="O614" s="133"/>
    </row>
    <row r="615" spans="1:15" ht="12.75" customHeight="1">
      <c r="A615" s="118"/>
      <c r="B615" s="119" t="s">
        <v>100</v>
      </c>
      <c r="C615" s="93"/>
      <c r="D615" s="69">
        <v>2</v>
      </c>
      <c r="E615" s="68">
        <v>2.8</v>
      </c>
      <c r="F615" s="68">
        <v>2.8</v>
      </c>
      <c r="G615" s="68">
        <v>0.6</v>
      </c>
      <c r="H615" s="68">
        <f t="shared" si="59"/>
        <v>9.4079999999999977</v>
      </c>
      <c r="I615" s="68"/>
      <c r="J615" s="114"/>
      <c r="K615" s="117"/>
      <c r="M615" s="134"/>
      <c r="N615" s="134"/>
      <c r="O615" s="133"/>
    </row>
    <row r="616" spans="1:15" ht="12.75" customHeight="1">
      <c r="A616" s="118"/>
      <c r="B616" s="119" t="s">
        <v>101</v>
      </c>
      <c r="C616" s="93"/>
      <c r="D616" s="69">
        <v>2</v>
      </c>
      <c r="E616" s="68">
        <v>3.4</v>
      </c>
      <c r="F616" s="68">
        <v>3.4</v>
      </c>
      <c r="G616" s="68">
        <v>0.75</v>
      </c>
      <c r="H616" s="68">
        <f t="shared" si="59"/>
        <v>17.339999999999996</v>
      </c>
      <c r="I616" s="68"/>
      <c r="J616" s="114"/>
      <c r="K616" s="117"/>
      <c r="M616" s="134"/>
      <c r="N616" s="134"/>
      <c r="O616" s="133"/>
    </row>
    <row r="617" spans="1:15" ht="12.75" customHeight="1">
      <c r="A617" s="115"/>
      <c r="B617" s="142" t="s">
        <v>102</v>
      </c>
      <c r="C617" s="140"/>
      <c r="D617" s="71">
        <v>3</v>
      </c>
      <c r="E617" s="70">
        <v>1.75</v>
      </c>
      <c r="F617" s="70">
        <v>1.75</v>
      </c>
      <c r="G617" s="70">
        <v>0.4</v>
      </c>
      <c r="H617" s="70">
        <f t="shared" si="59"/>
        <v>3.6750000000000003</v>
      </c>
      <c r="I617" s="70"/>
      <c r="J617" s="141"/>
      <c r="K617" s="113"/>
      <c r="M617" s="134"/>
      <c r="N617" s="134"/>
      <c r="O617" s="133"/>
    </row>
    <row r="618" spans="1:15" ht="12.75" customHeight="1">
      <c r="A618" s="66">
        <v>10</v>
      </c>
      <c r="B618" s="65" t="s">
        <v>121</v>
      </c>
      <c r="C618" s="64" t="s">
        <v>48</v>
      </c>
      <c r="D618" s="76"/>
      <c r="E618" s="75"/>
      <c r="F618" s="75"/>
      <c r="G618" s="75"/>
      <c r="H618" s="75"/>
      <c r="I618" s="75"/>
      <c r="J618" s="74"/>
      <c r="K618" s="63">
        <f>SUM(H620:H625)+SUM(H641:H684)+SUM(H700:H739)</f>
        <v>28.266399999999997</v>
      </c>
      <c r="M618" s="134"/>
      <c r="N618" s="134"/>
      <c r="O618" s="133"/>
    </row>
    <row r="619" spans="1:15" ht="12.75" customHeight="1">
      <c r="A619" s="108"/>
      <c r="B619" s="105" t="s">
        <v>154</v>
      </c>
      <c r="C619" s="104"/>
      <c r="D619" s="73"/>
      <c r="E619" s="72"/>
      <c r="F619" s="72"/>
      <c r="G619" s="72"/>
      <c r="H619" s="72"/>
      <c r="I619" s="72"/>
      <c r="J619" s="124"/>
      <c r="K619" s="107"/>
      <c r="M619" s="134"/>
      <c r="N619" s="134"/>
      <c r="O619" s="133"/>
    </row>
    <row r="620" spans="1:15" ht="12.75" customHeight="1">
      <c r="A620" s="118"/>
      <c r="B620" s="94" t="s">
        <v>155</v>
      </c>
      <c r="C620" s="93"/>
      <c r="D620" s="69">
        <v>1</v>
      </c>
      <c r="E620" s="68">
        <v>0.2</v>
      </c>
      <c r="F620" s="68">
        <v>0.4</v>
      </c>
      <c r="G620" s="68">
        <v>3.83</v>
      </c>
      <c r="H620" s="68">
        <f>PRODUCT(D620:G620)</f>
        <v>0.30640000000000006</v>
      </c>
      <c r="I620" s="68"/>
      <c r="J620" s="114"/>
      <c r="K620" s="117"/>
      <c r="M620" s="134"/>
      <c r="N620" s="134"/>
      <c r="O620" s="133"/>
    </row>
    <row r="621" spans="1:15" ht="12.75" customHeight="1">
      <c r="A621" s="118"/>
      <c r="B621" s="94" t="s">
        <v>156</v>
      </c>
      <c r="C621" s="93"/>
      <c r="D621" s="69">
        <v>1</v>
      </c>
      <c r="E621" s="68">
        <v>0.2</v>
      </c>
      <c r="F621" s="68">
        <v>0.4</v>
      </c>
      <c r="G621" s="68">
        <v>3.64</v>
      </c>
      <c r="H621" s="68">
        <f t="shared" ref="H621:H717" si="60">PRODUCT(D621:G621)</f>
        <v>0.29120000000000007</v>
      </c>
      <c r="I621" s="68"/>
      <c r="J621" s="114"/>
      <c r="K621" s="117"/>
      <c r="M621" s="134"/>
      <c r="N621" s="134"/>
      <c r="O621" s="133"/>
    </row>
    <row r="622" spans="1:15" ht="12.75" customHeight="1">
      <c r="A622" s="118"/>
      <c r="B622" s="94" t="s">
        <v>157</v>
      </c>
      <c r="C622" s="93"/>
      <c r="D622" s="69">
        <v>1</v>
      </c>
      <c r="E622" s="68">
        <v>0.2</v>
      </c>
      <c r="F622" s="68">
        <v>0.4</v>
      </c>
      <c r="G622" s="68">
        <v>4.03</v>
      </c>
      <c r="H622" s="68">
        <f t="shared" si="60"/>
        <v>0.32240000000000008</v>
      </c>
      <c r="I622" s="68"/>
      <c r="J622" s="114"/>
      <c r="K622" s="117"/>
      <c r="M622" s="134"/>
      <c r="N622" s="134"/>
      <c r="O622" s="133"/>
    </row>
    <row r="623" spans="1:15" ht="12.75" customHeight="1">
      <c r="A623" s="118"/>
      <c r="B623" s="94" t="s">
        <v>158</v>
      </c>
      <c r="C623" s="93"/>
      <c r="D623" s="69">
        <v>1</v>
      </c>
      <c r="E623" s="68">
        <v>0.2</v>
      </c>
      <c r="F623" s="68">
        <v>0.4</v>
      </c>
      <c r="G623" s="68">
        <v>4.6500000000000004</v>
      </c>
      <c r="H623" s="68">
        <f t="shared" si="60"/>
        <v>0.37200000000000011</v>
      </c>
      <c r="I623" s="68"/>
      <c r="J623" s="114"/>
      <c r="K623" s="117"/>
      <c r="M623" s="134"/>
      <c r="N623" s="134"/>
      <c r="O623" s="133"/>
    </row>
    <row r="624" spans="1:15" ht="12.75" customHeight="1">
      <c r="A624" s="118"/>
      <c r="B624" s="94" t="s">
        <v>159</v>
      </c>
      <c r="C624" s="93"/>
      <c r="D624" s="69">
        <v>1</v>
      </c>
      <c r="E624" s="68">
        <v>0.2</v>
      </c>
      <c r="F624" s="68">
        <v>0.4</v>
      </c>
      <c r="G624" s="68">
        <v>4.5999999999999996</v>
      </c>
      <c r="H624" s="68">
        <f t="shared" si="60"/>
        <v>0.36800000000000005</v>
      </c>
      <c r="I624" s="68"/>
      <c r="J624" s="114"/>
      <c r="K624" s="117"/>
      <c r="M624" s="134"/>
      <c r="N624" s="134"/>
      <c r="O624" s="133"/>
    </row>
    <row r="625" spans="1:15" ht="12.75" customHeight="1" thickBot="1">
      <c r="A625" s="143"/>
      <c r="B625" s="147" t="s">
        <v>160</v>
      </c>
      <c r="C625" s="144"/>
      <c r="D625" s="95">
        <v>1</v>
      </c>
      <c r="E625" s="92">
        <v>0.2</v>
      </c>
      <c r="F625" s="92">
        <v>0.4</v>
      </c>
      <c r="G625" s="92">
        <v>4.5999999999999996</v>
      </c>
      <c r="H625" s="92">
        <f t="shared" si="60"/>
        <v>0.36800000000000005</v>
      </c>
      <c r="I625" s="92"/>
      <c r="J625" s="145"/>
      <c r="K625" s="146"/>
      <c r="M625" s="134"/>
      <c r="N625" s="134"/>
      <c r="O625" s="133"/>
    </row>
    <row r="626" spans="1:15" ht="12.75" customHeight="1" thickTop="1">
      <c r="A626" s="91"/>
      <c r="B626" s="90"/>
      <c r="C626" s="90"/>
      <c r="D626" s="90"/>
      <c r="E626" s="90"/>
      <c r="F626" s="90"/>
      <c r="G626" s="90"/>
      <c r="H626" s="90"/>
      <c r="I626" s="90"/>
      <c r="J626" s="90"/>
      <c r="K626" s="89"/>
      <c r="M626" s="134"/>
      <c r="N626" s="134"/>
      <c r="O626" s="133"/>
    </row>
    <row r="627" spans="1:15" ht="15.75" customHeight="1">
      <c r="A627" s="569" t="s">
        <v>29</v>
      </c>
      <c r="B627" s="570"/>
      <c r="C627" s="570"/>
      <c r="D627" s="570"/>
      <c r="E627" s="570"/>
      <c r="F627" s="570"/>
      <c r="G627" s="570"/>
      <c r="H627" s="570"/>
      <c r="I627" s="570"/>
      <c r="J627" s="570"/>
      <c r="K627" s="571"/>
      <c r="M627" s="134"/>
      <c r="N627" s="134"/>
      <c r="O627" s="133"/>
    </row>
    <row r="628" spans="1:15" ht="16.5" customHeight="1">
      <c r="A628" s="572" t="s">
        <v>69</v>
      </c>
      <c r="B628" s="573"/>
      <c r="C628" s="573"/>
      <c r="D628" s="573"/>
      <c r="E628" s="573"/>
      <c r="F628" s="573"/>
      <c r="G628" s="573"/>
      <c r="H628" s="573"/>
      <c r="I628" s="573"/>
      <c r="J628" s="573"/>
      <c r="K628" s="574"/>
      <c r="M628" s="134"/>
      <c r="N628" s="134"/>
      <c r="O628" s="133"/>
    </row>
    <row r="629" spans="1:15" ht="16.5" customHeight="1">
      <c r="A629" s="88"/>
      <c r="B629" s="85"/>
      <c r="C629" s="85"/>
      <c r="D629" s="85"/>
      <c r="E629" s="85"/>
      <c r="F629" s="85"/>
      <c r="G629" s="85"/>
      <c r="H629" s="85"/>
      <c r="I629" s="85"/>
      <c r="J629" s="85"/>
      <c r="K629" s="87"/>
      <c r="M629" s="134"/>
      <c r="N629" s="134"/>
      <c r="O629" s="133"/>
    </row>
    <row r="630" spans="1:15" ht="9" customHeight="1">
      <c r="A630" s="55"/>
      <c r="B630" s="86"/>
      <c r="C630" s="86"/>
      <c r="D630" s="86"/>
      <c r="E630" s="86"/>
      <c r="F630" s="86"/>
      <c r="G630" s="86"/>
      <c r="H630" s="86"/>
      <c r="I630" s="86"/>
      <c r="J630" s="86"/>
      <c r="K630" s="81"/>
      <c r="M630" s="134"/>
      <c r="N630" s="134"/>
      <c r="O630" s="133"/>
    </row>
    <row r="631" spans="1:15" ht="12.75" customHeight="1">
      <c r="A631" s="575" t="s">
        <v>68</v>
      </c>
      <c r="B631" s="576"/>
      <c r="C631" s="576"/>
      <c r="D631" s="576"/>
      <c r="E631" s="576"/>
      <c r="F631" s="576"/>
      <c r="G631" s="576"/>
      <c r="H631" s="576"/>
      <c r="I631" s="576"/>
      <c r="J631" s="576"/>
      <c r="K631" s="577"/>
      <c r="M631" s="134"/>
      <c r="N631" s="134"/>
      <c r="O631" s="133"/>
    </row>
    <row r="632" spans="1:15" ht="8.25" customHeight="1">
      <c r="A632" s="55"/>
      <c r="B632" s="86"/>
      <c r="C632" s="86"/>
      <c r="D632" s="86"/>
      <c r="E632" s="86"/>
      <c r="F632" s="86"/>
      <c r="G632" s="86"/>
      <c r="H632" s="86"/>
      <c r="I632" s="86"/>
      <c r="J632" s="85"/>
      <c r="K632" s="81"/>
      <c r="M632" s="134"/>
      <c r="N632" s="134"/>
      <c r="O632" s="133"/>
    </row>
    <row r="633" spans="1:15" ht="12.75" customHeight="1">
      <c r="A633" s="84"/>
      <c r="B633" s="83" t="s">
        <v>11</v>
      </c>
      <c r="C633" s="578" t="s">
        <v>361</v>
      </c>
      <c r="D633" s="579"/>
      <c r="E633" s="579"/>
      <c r="F633" s="579"/>
      <c r="G633" s="579"/>
      <c r="H633" s="579"/>
      <c r="I633" s="579"/>
      <c r="J633" s="580"/>
      <c r="K633" s="81"/>
      <c r="M633" s="134"/>
      <c r="N633" s="134"/>
      <c r="O633" s="133"/>
    </row>
    <row r="634" spans="1:15" ht="8.25" customHeight="1">
      <c r="A634" s="80"/>
      <c r="K634" s="81"/>
      <c r="M634" s="134"/>
      <c r="N634" s="134"/>
      <c r="O634" s="133"/>
    </row>
    <row r="635" spans="1:15" ht="12.75" customHeight="1">
      <c r="A635" s="80"/>
      <c r="B635" s="82" t="s">
        <v>67</v>
      </c>
      <c r="C635" s="581" t="s">
        <v>66</v>
      </c>
      <c r="D635" s="582"/>
      <c r="E635" s="582"/>
      <c r="F635" s="582"/>
      <c r="G635" s="582"/>
      <c r="H635" s="582"/>
      <c r="I635" s="582"/>
      <c r="J635" s="583"/>
      <c r="K635" s="81"/>
      <c r="M635" s="134"/>
      <c r="N635" s="134"/>
      <c r="O635" s="133"/>
    </row>
    <row r="636" spans="1:15" ht="7.5" customHeight="1">
      <c r="A636" s="80"/>
      <c r="B636" s="79"/>
      <c r="D636" s="78"/>
      <c r="E636" s="78"/>
      <c r="F636" s="78"/>
      <c r="G636" s="78"/>
      <c r="H636" s="78"/>
      <c r="I636" s="78"/>
      <c r="K636" s="77"/>
      <c r="M636" s="134"/>
      <c r="N636" s="134"/>
      <c r="O636" s="133"/>
    </row>
    <row r="637" spans="1:15" ht="12.75" customHeight="1">
      <c r="A637" s="584" t="s">
        <v>84</v>
      </c>
      <c r="B637" s="585" t="s">
        <v>83</v>
      </c>
      <c r="C637" s="585" t="s">
        <v>82</v>
      </c>
      <c r="D637" s="585" t="s">
        <v>81</v>
      </c>
      <c r="E637" s="564" t="s">
        <v>80</v>
      </c>
      <c r="F637" s="564"/>
      <c r="G637" s="564"/>
      <c r="H637" s="564" t="s">
        <v>79</v>
      </c>
      <c r="I637" s="564"/>
      <c r="J637" s="564"/>
      <c r="K637" s="565" t="s">
        <v>58</v>
      </c>
      <c r="M637" s="134"/>
      <c r="N637" s="134"/>
      <c r="O637" s="133"/>
    </row>
    <row r="638" spans="1:15" ht="12.75" customHeight="1">
      <c r="A638" s="584"/>
      <c r="B638" s="585"/>
      <c r="C638" s="585"/>
      <c r="D638" s="585"/>
      <c r="E638" s="125" t="s">
        <v>78</v>
      </c>
      <c r="F638" s="125" t="s">
        <v>77</v>
      </c>
      <c r="G638" s="125" t="s">
        <v>76</v>
      </c>
      <c r="H638" s="125" t="s">
        <v>75</v>
      </c>
      <c r="I638" s="125" t="s">
        <v>74</v>
      </c>
      <c r="J638" s="125" t="s">
        <v>73</v>
      </c>
      <c r="K638" s="565"/>
      <c r="M638" s="134"/>
      <c r="N638" s="134"/>
      <c r="O638" s="133"/>
    </row>
    <row r="639" spans="1:15" ht="12.75" customHeight="1">
      <c r="A639" s="584"/>
      <c r="B639" s="585"/>
      <c r="C639" s="585"/>
      <c r="D639" s="585"/>
      <c r="E639" s="125" t="s">
        <v>70</v>
      </c>
      <c r="F639" s="125" t="s">
        <v>70</v>
      </c>
      <c r="G639" s="125" t="s">
        <v>70</v>
      </c>
      <c r="H639" s="125" t="s">
        <v>72</v>
      </c>
      <c r="I639" s="125" t="s">
        <v>71</v>
      </c>
      <c r="J639" s="125" t="s">
        <v>70</v>
      </c>
      <c r="K639" s="565"/>
      <c r="M639" s="134"/>
      <c r="N639" s="134"/>
      <c r="O639" s="133"/>
    </row>
    <row r="640" spans="1:15" ht="12.75" customHeight="1">
      <c r="A640" s="66">
        <v>10</v>
      </c>
      <c r="B640" s="65" t="s">
        <v>121</v>
      </c>
      <c r="C640" s="64" t="s">
        <v>48</v>
      </c>
      <c r="D640" s="76"/>
      <c r="E640" s="75"/>
      <c r="F640" s="75"/>
      <c r="G640" s="75"/>
      <c r="H640" s="75"/>
      <c r="I640" s="75"/>
      <c r="J640" s="74"/>
      <c r="K640" s="63"/>
      <c r="M640" s="134"/>
      <c r="N640" s="134"/>
      <c r="O640" s="133"/>
    </row>
    <row r="641" spans="1:15" ht="12.75" customHeight="1">
      <c r="A641" s="115"/>
      <c r="B641" s="111" t="s">
        <v>161</v>
      </c>
      <c r="C641" s="140"/>
      <c r="D641" s="71">
        <v>1</v>
      </c>
      <c r="E641" s="70">
        <v>0.2</v>
      </c>
      <c r="F641" s="70">
        <v>0.4</v>
      </c>
      <c r="G641" s="70">
        <v>2.15</v>
      </c>
      <c r="H641" s="70">
        <f t="shared" si="60"/>
        <v>0.17200000000000001</v>
      </c>
      <c r="I641" s="70"/>
      <c r="J641" s="141"/>
      <c r="K641" s="113"/>
      <c r="M641" s="134"/>
      <c r="N641" s="134"/>
      <c r="O641" s="133"/>
    </row>
    <row r="642" spans="1:15" ht="12.75" customHeight="1">
      <c r="A642" s="108"/>
      <c r="B642" s="112" t="s">
        <v>162</v>
      </c>
      <c r="C642" s="104"/>
      <c r="D642" s="73">
        <v>1</v>
      </c>
      <c r="E642" s="72">
        <v>0.2</v>
      </c>
      <c r="F642" s="72">
        <v>0.4</v>
      </c>
      <c r="G642" s="72">
        <v>3.83</v>
      </c>
      <c r="H642" s="72">
        <f t="shared" si="60"/>
        <v>0.30640000000000006</v>
      </c>
      <c r="I642" s="72"/>
      <c r="J642" s="124"/>
      <c r="K642" s="107"/>
      <c r="M642" s="134"/>
      <c r="N642" s="134"/>
      <c r="O642" s="133"/>
    </row>
    <row r="643" spans="1:15" ht="12.75" customHeight="1">
      <c r="A643" s="118"/>
      <c r="B643" s="94" t="s">
        <v>163</v>
      </c>
      <c r="C643" s="93"/>
      <c r="D643" s="69">
        <v>1</v>
      </c>
      <c r="E643" s="68">
        <v>0.2</v>
      </c>
      <c r="F643" s="68">
        <v>0.4</v>
      </c>
      <c r="G643" s="68">
        <v>3.58</v>
      </c>
      <c r="H643" s="68">
        <f t="shared" si="60"/>
        <v>0.28640000000000004</v>
      </c>
      <c r="I643" s="68"/>
      <c r="J643" s="114"/>
      <c r="K643" s="117"/>
      <c r="M643" s="134"/>
      <c r="N643" s="134"/>
      <c r="O643" s="133"/>
    </row>
    <row r="644" spans="1:15" ht="12.75" customHeight="1">
      <c r="A644" s="118"/>
      <c r="B644" s="94" t="s">
        <v>164</v>
      </c>
      <c r="C644" s="93"/>
      <c r="D644" s="69">
        <v>1</v>
      </c>
      <c r="E644" s="68">
        <v>0.2</v>
      </c>
      <c r="F644" s="68">
        <v>0.4</v>
      </c>
      <c r="G644" s="68">
        <v>3.98</v>
      </c>
      <c r="H644" s="68">
        <f t="shared" si="60"/>
        <v>0.31840000000000007</v>
      </c>
      <c r="I644" s="68"/>
      <c r="J644" s="114"/>
      <c r="K644" s="117"/>
      <c r="M644" s="134"/>
      <c r="N644" s="134"/>
      <c r="O644" s="133"/>
    </row>
    <row r="645" spans="1:15" ht="12.75" customHeight="1">
      <c r="A645" s="118"/>
      <c r="B645" s="94" t="s">
        <v>165</v>
      </c>
      <c r="C645" s="93"/>
      <c r="D645" s="69">
        <v>1</v>
      </c>
      <c r="E645" s="68">
        <v>0.2</v>
      </c>
      <c r="F645" s="68">
        <v>0.4</v>
      </c>
      <c r="G645" s="68">
        <v>4.6500000000000004</v>
      </c>
      <c r="H645" s="68">
        <f t="shared" si="60"/>
        <v>0.37200000000000011</v>
      </c>
      <c r="I645" s="68"/>
      <c r="J645" s="114"/>
      <c r="K645" s="117"/>
      <c r="M645" s="134"/>
      <c r="N645" s="134"/>
      <c r="O645" s="133"/>
    </row>
    <row r="646" spans="1:15" ht="12.75" customHeight="1">
      <c r="A646" s="118"/>
      <c r="B646" s="94" t="s">
        <v>166</v>
      </c>
      <c r="C646" s="93"/>
      <c r="D646" s="69">
        <v>1</v>
      </c>
      <c r="E646" s="68">
        <v>0.2</v>
      </c>
      <c r="F646" s="68">
        <v>0.4</v>
      </c>
      <c r="G646" s="68">
        <v>4.5999999999999996</v>
      </c>
      <c r="H646" s="68">
        <f t="shared" si="60"/>
        <v>0.36800000000000005</v>
      </c>
      <c r="I646" s="68"/>
      <c r="J646" s="114"/>
      <c r="K646" s="117"/>
      <c r="M646" s="134"/>
      <c r="N646" s="134"/>
      <c r="O646" s="133"/>
    </row>
    <row r="647" spans="1:15" ht="12.75" customHeight="1">
      <c r="A647" s="118"/>
      <c r="B647" s="94" t="s">
        <v>168</v>
      </c>
      <c r="C647" s="93"/>
      <c r="D647" s="69">
        <v>1</v>
      </c>
      <c r="E647" s="68">
        <v>0.2</v>
      </c>
      <c r="F647" s="68">
        <v>0.4</v>
      </c>
      <c r="G647" s="68">
        <v>2.12</v>
      </c>
      <c r="H647" s="68">
        <f t="shared" si="60"/>
        <v>0.16960000000000003</v>
      </c>
      <c r="I647" s="68"/>
      <c r="J647" s="114"/>
      <c r="K647" s="117"/>
      <c r="M647" s="134"/>
      <c r="N647" s="134"/>
      <c r="O647" s="133"/>
    </row>
    <row r="648" spans="1:15" ht="12.75" customHeight="1">
      <c r="A648" s="118"/>
      <c r="B648" s="94" t="s">
        <v>169</v>
      </c>
      <c r="C648" s="93"/>
      <c r="D648" s="69">
        <v>1</v>
      </c>
      <c r="E648" s="68">
        <v>0.2</v>
      </c>
      <c r="F648" s="68">
        <v>0.4</v>
      </c>
      <c r="G648" s="68">
        <v>2.13</v>
      </c>
      <c r="H648" s="68">
        <f t="shared" si="60"/>
        <v>0.17040000000000002</v>
      </c>
      <c r="I648" s="68"/>
      <c r="J648" s="114"/>
      <c r="K648" s="117"/>
      <c r="M648" s="134"/>
      <c r="N648" s="134"/>
      <c r="O648" s="133"/>
    </row>
    <row r="649" spans="1:15" ht="12.75" customHeight="1">
      <c r="A649" s="115"/>
      <c r="B649" s="111" t="s">
        <v>167</v>
      </c>
      <c r="C649" s="140"/>
      <c r="D649" s="71">
        <v>1</v>
      </c>
      <c r="E649" s="70">
        <v>0.2</v>
      </c>
      <c r="F649" s="70">
        <v>0.4</v>
      </c>
      <c r="G649" s="70">
        <v>2.21</v>
      </c>
      <c r="H649" s="70">
        <f t="shared" si="60"/>
        <v>0.17680000000000004</v>
      </c>
      <c r="I649" s="70"/>
      <c r="J649" s="141"/>
      <c r="K649" s="113"/>
      <c r="M649" s="134"/>
      <c r="N649" s="134"/>
      <c r="O649" s="133"/>
    </row>
    <row r="650" spans="1:15" ht="12.75" customHeight="1">
      <c r="A650" s="108"/>
      <c r="B650" s="112" t="s">
        <v>170</v>
      </c>
      <c r="C650" s="104"/>
      <c r="D650" s="73">
        <v>1</v>
      </c>
      <c r="E650" s="72">
        <v>0.2</v>
      </c>
      <c r="F650" s="72">
        <v>0.4</v>
      </c>
      <c r="G650" s="72">
        <v>2.1</v>
      </c>
      <c r="H650" s="72">
        <f t="shared" si="60"/>
        <v>0.16800000000000004</v>
      </c>
      <c r="I650" s="72"/>
      <c r="J650" s="124"/>
      <c r="K650" s="107"/>
      <c r="M650" s="134"/>
      <c r="N650" s="134"/>
      <c r="O650" s="133"/>
    </row>
    <row r="651" spans="1:15" ht="12.75" customHeight="1">
      <c r="A651" s="118"/>
      <c r="B651" s="94" t="s">
        <v>171</v>
      </c>
      <c r="C651" s="93"/>
      <c r="D651" s="69">
        <v>1</v>
      </c>
      <c r="E651" s="68">
        <v>0.2</v>
      </c>
      <c r="F651" s="68">
        <v>0.4</v>
      </c>
      <c r="G651" s="68">
        <v>5.29</v>
      </c>
      <c r="H651" s="68">
        <f t="shared" si="60"/>
        <v>0.42320000000000008</v>
      </c>
      <c r="I651" s="68"/>
      <c r="J651" s="114"/>
      <c r="K651" s="117"/>
      <c r="M651" s="134"/>
      <c r="N651" s="134"/>
      <c r="O651" s="133"/>
    </row>
    <row r="652" spans="1:15" ht="12.75" customHeight="1">
      <c r="A652" s="118"/>
      <c r="B652" s="94" t="s">
        <v>172</v>
      </c>
      <c r="C652" s="93"/>
      <c r="D652" s="69">
        <v>1</v>
      </c>
      <c r="E652" s="68">
        <v>0.2</v>
      </c>
      <c r="F652" s="68">
        <v>0.4</v>
      </c>
      <c r="G652" s="68">
        <v>1.39</v>
      </c>
      <c r="H652" s="68">
        <f t="shared" si="60"/>
        <v>0.11120000000000001</v>
      </c>
      <c r="I652" s="68"/>
      <c r="J652" s="114"/>
      <c r="K652" s="117"/>
      <c r="M652" s="134"/>
      <c r="N652" s="134"/>
      <c r="O652" s="133"/>
    </row>
    <row r="653" spans="1:15" ht="12.75" customHeight="1">
      <c r="A653" s="118"/>
      <c r="B653" s="94" t="s">
        <v>173</v>
      </c>
      <c r="C653" s="93"/>
      <c r="D653" s="69">
        <v>1</v>
      </c>
      <c r="E653" s="68">
        <v>0.2</v>
      </c>
      <c r="F653" s="68">
        <v>0.4</v>
      </c>
      <c r="G653" s="68">
        <v>6.9</v>
      </c>
      <c r="H653" s="68">
        <f t="shared" si="60"/>
        <v>0.55200000000000016</v>
      </c>
      <c r="I653" s="68"/>
      <c r="J653" s="114"/>
      <c r="K653" s="117"/>
      <c r="M653" s="134"/>
      <c r="N653" s="134"/>
      <c r="O653" s="133"/>
    </row>
    <row r="654" spans="1:15" ht="12.75" customHeight="1">
      <c r="A654" s="118"/>
      <c r="B654" s="94" t="s">
        <v>174</v>
      </c>
      <c r="C654" s="93"/>
      <c r="D654" s="69">
        <v>1</v>
      </c>
      <c r="E654" s="68">
        <v>0.2</v>
      </c>
      <c r="F654" s="68">
        <v>0.4</v>
      </c>
      <c r="G654" s="68">
        <v>6.9</v>
      </c>
      <c r="H654" s="68">
        <f t="shared" si="60"/>
        <v>0.55200000000000016</v>
      </c>
      <c r="I654" s="68"/>
      <c r="J654" s="114"/>
      <c r="K654" s="117"/>
      <c r="M654" s="134"/>
      <c r="N654" s="134"/>
      <c r="O654" s="133"/>
    </row>
    <row r="655" spans="1:15" ht="12.75" customHeight="1">
      <c r="A655" s="115"/>
      <c r="B655" s="111" t="s">
        <v>175</v>
      </c>
      <c r="C655" s="140"/>
      <c r="D655" s="71">
        <v>1</v>
      </c>
      <c r="E655" s="70">
        <v>0.2</v>
      </c>
      <c r="F655" s="70">
        <v>0.4</v>
      </c>
      <c r="G655" s="70">
        <v>2.0499999999999998</v>
      </c>
      <c r="H655" s="70">
        <f t="shared" si="60"/>
        <v>0.16400000000000001</v>
      </c>
      <c r="I655" s="70"/>
      <c r="J655" s="141"/>
      <c r="K655" s="113"/>
      <c r="M655" s="134"/>
      <c r="N655" s="134"/>
      <c r="O655" s="133"/>
    </row>
    <row r="656" spans="1:15" ht="12.75" customHeight="1">
      <c r="A656" s="108"/>
      <c r="B656" s="112" t="s">
        <v>176</v>
      </c>
      <c r="C656" s="104"/>
      <c r="D656" s="73">
        <v>1</v>
      </c>
      <c r="E656" s="72">
        <v>0.2</v>
      </c>
      <c r="F656" s="72">
        <v>0.4</v>
      </c>
      <c r="G656" s="72">
        <v>2.1</v>
      </c>
      <c r="H656" s="72">
        <f t="shared" si="60"/>
        <v>0.16800000000000004</v>
      </c>
      <c r="I656" s="72"/>
      <c r="J656" s="124"/>
      <c r="K656" s="107"/>
      <c r="M656" s="134"/>
      <c r="N656" s="134"/>
      <c r="O656" s="133"/>
    </row>
    <row r="657" spans="1:15" ht="12.75" customHeight="1">
      <c r="A657" s="118"/>
      <c r="B657" s="94" t="s">
        <v>177</v>
      </c>
      <c r="C657" s="93"/>
      <c r="D657" s="69">
        <v>1</v>
      </c>
      <c r="E657" s="68">
        <v>0.2</v>
      </c>
      <c r="F657" s="68">
        <v>0.4</v>
      </c>
      <c r="G657" s="68">
        <v>5.18</v>
      </c>
      <c r="H657" s="68">
        <f t="shared" si="60"/>
        <v>0.41440000000000005</v>
      </c>
      <c r="I657" s="68"/>
      <c r="J657" s="114"/>
      <c r="K657" s="117"/>
      <c r="M657" s="134"/>
      <c r="N657" s="134"/>
      <c r="O657" s="133"/>
    </row>
    <row r="658" spans="1:15" ht="12.75" customHeight="1">
      <c r="A658" s="129"/>
      <c r="B658" s="160" t="s">
        <v>285</v>
      </c>
      <c r="C658" s="139"/>
      <c r="D658" s="110">
        <v>1</v>
      </c>
      <c r="E658" s="109">
        <v>0.2</v>
      </c>
      <c r="F658" s="109">
        <v>0.4</v>
      </c>
      <c r="G658" s="109">
        <v>1.31</v>
      </c>
      <c r="H658" s="109">
        <f t="shared" si="60"/>
        <v>0.10480000000000002</v>
      </c>
      <c r="I658" s="109"/>
      <c r="J658" s="135"/>
      <c r="K658" s="130"/>
      <c r="M658" s="134"/>
      <c r="N658" s="134"/>
      <c r="O658" s="133"/>
    </row>
    <row r="659" spans="1:15" ht="12.75" customHeight="1">
      <c r="A659" s="118"/>
      <c r="B659" s="94" t="s">
        <v>178</v>
      </c>
      <c r="C659" s="93"/>
      <c r="D659" s="69">
        <v>1</v>
      </c>
      <c r="E659" s="68">
        <v>0.2</v>
      </c>
      <c r="F659" s="68">
        <v>0.4</v>
      </c>
      <c r="G659" s="68">
        <v>6.9</v>
      </c>
      <c r="H659" s="68">
        <f t="shared" si="60"/>
        <v>0.55200000000000016</v>
      </c>
      <c r="I659" s="68"/>
      <c r="J659" s="114"/>
      <c r="K659" s="117"/>
      <c r="M659" s="134"/>
      <c r="N659" s="134"/>
      <c r="O659" s="133"/>
    </row>
    <row r="660" spans="1:15" ht="12.75" customHeight="1">
      <c r="A660" s="118"/>
      <c r="B660" s="94" t="s">
        <v>179</v>
      </c>
      <c r="C660" s="93"/>
      <c r="D660" s="69">
        <v>1</v>
      </c>
      <c r="E660" s="68">
        <v>0.2</v>
      </c>
      <c r="F660" s="68">
        <v>0.4</v>
      </c>
      <c r="G660" s="68">
        <v>6.98</v>
      </c>
      <c r="H660" s="68">
        <f t="shared" si="60"/>
        <v>0.55840000000000012</v>
      </c>
      <c r="I660" s="68"/>
      <c r="J660" s="114"/>
      <c r="K660" s="117"/>
      <c r="M660" s="134"/>
      <c r="N660" s="134"/>
      <c r="O660" s="133"/>
    </row>
    <row r="661" spans="1:15" ht="12.75" customHeight="1">
      <c r="A661" s="115"/>
      <c r="B661" s="111" t="s">
        <v>180</v>
      </c>
      <c r="C661" s="140"/>
      <c r="D661" s="71">
        <v>1</v>
      </c>
      <c r="E661" s="70">
        <v>0.2</v>
      </c>
      <c r="F661" s="70">
        <v>0.4</v>
      </c>
      <c r="G661" s="70">
        <v>2.12</v>
      </c>
      <c r="H661" s="70">
        <f t="shared" si="60"/>
        <v>0.16960000000000003</v>
      </c>
      <c r="I661" s="70"/>
      <c r="J661" s="141"/>
      <c r="K661" s="113"/>
      <c r="M661" s="134"/>
      <c r="N661" s="134"/>
      <c r="O661" s="133"/>
    </row>
    <row r="662" spans="1:15" ht="12.75" customHeight="1">
      <c r="A662" s="108"/>
      <c r="B662" s="112" t="s">
        <v>286</v>
      </c>
      <c r="C662" s="104"/>
      <c r="D662" s="73">
        <v>1</v>
      </c>
      <c r="E662" s="72">
        <v>0.2</v>
      </c>
      <c r="F662" s="72">
        <v>0.4</v>
      </c>
      <c r="G662" s="72">
        <v>3.83</v>
      </c>
      <c r="H662" s="72">
        <f t="shared" si="60"/>
        <v>0.30640000000000006</v>
      </c>
      <c r="I662" s="72"/>
      <c r="J662" s="124"/>
      <c r="K662" s="107"/>
      <c r="M662" s="134"/>
      <c r="N662" s="134"/>
      <c r="O662" s="133"/>
    </row>
    <row r="663" spans="1:15" ht="12.75" customHeight="1">
      <c r="A663" s="118"/>
      <c r="B663" s="94" t="s">
        <v>181</v>
      </c>
      <c r="C663" s="93"/>
      <c r="D663" s="69">
        <v>1</v>
      </c>
      <c r="E663" s="68">
        <v>0.2</v>
      </c>
      <c r="F663" s="68">
        <v>0.4</v>
      </c>
      <c r="G663" s="68">
        <v>3.59</v>
      </c>
      <c r="H663" s="68">
        <f t="shared" si="60"/>
        <v>0.28720000000000007</v>
      </c>
      <c r="I663" s="68"/>
      <c r="J663" s="114"/>
      <c r="K663" s="117"/>
      <c r="M663" s="134"/>
      <c r="N663" s="134"/>
      <c r="O663" s="133"/>
    </row>
    <row r="664" spans="1:15" ht="12.75" customHeight="1">
      <c r="A664" s="118"/>
      <c r="B664" s="94" t="s">
        <v>182</v>
      </c>
      <c r="C664" s="93"/>
      <c r="D664" s="69">
        <v>1</v>
      </c>
      <c r="E664" s="68">
        <v>0.2</v>
      </c>
      <c r="F664" s="68">
        <v>0.4</v>
      </c>
      <c r="G664" s="68">
        <v>3.98</v>
      </c>
      <c r="H664" s="68">
        <f t="shared" si="60"/>
        <v>0.31840000000000007</v>
      </c>
      <c r="I664" s="68"/>
      <c r="J664" s="114"/>
      <c r="K664" s="117"/>
      <c r="M664" s="134"/>
      <c r="N664" s="134"/>
      <c r="O664" s="133"/>
    </row>
    <row r="665" spans="1:15" ht="12.75" customHeight="1">
      <c r="A665" s="118"/>
      <c r="B665" s="94" t="s">
        <v>183</v>
      </c>
      <c r="C665" s="93"/>
      <c r="D665" s="69">
        <v>1</v>
      </c>
      <c r="E665" s="68">
        <v>0.2</v>
      </c>
      <c r="F665" s="68">
        <v>0.4</v>
      </c>
      <c r="G665" s="68">
        <v>4.55</v>
      </c>
      <c r="H665" s="68">
        <f t="shared" si="60"/>
        <v>0.36400000000000005</v>
      </c>
      <c r="I665" s="68"/>
      <c r="J665" s="114"/>
      <c r="K665" s="117"/>
      <c r="M665" s="134"/>
      <c r="N665" s="134"/>
      <c r="O665" s="133"/>
    </row>
    <row r="666" spans="1:15" ht="12.75" customHeight="1">
      <c r="A666" s="118"/>
      <c r="B666" s="94" t="s">
        <v>184</v>
      </c>
      <c r="C666" s="93"/>
      <c r="D666" s="69">
        <v>1</v>
      </c>
      <c r="E666" s="68">
        <v>0.2</v>
      </c>
      <c r="F666" s="68">
        <v>0.4</v>
      </c>
      <c r="G666" s="68">
        <v>4.55</v>
      </c>
      <c r="H666" s="68">
        <f t="shared" si="60"/>
        <v>0.36400000000000005</v>
      </c>
      <c r="I666" s="68"/>
      <c r="J666" s="114"/>
      <c r="K666" s="117"/>
      <c r="M666" s="134"/>
      <c r="N666" s="134"/>
      <c r="O666" s="133"/>
    </row>
    <row r="667" spans="1:15" ht="12.75" customHeight="1">
      <c r="A667" s="115"/>
      <c r="B667" s="111" t="s">
        <v>185</v>
      </c>
      <c r="C667" s="140"/>
      <c r="D667" s="71">
        <v>1</v>
      </c>
      <c r="E667" s="70">
        <v>0.2</v>
      </c>
      <c r="F667" s="70">
        <v>0.4</v>
      </c>
      <c r="G667" s="70">
        <v>2.1800000000000002</v>
      </c>
      <c r="H667" s="70">
        <f t="shared" si="60"/>
        <v>0.17440000000000005</v>
      </c>
      <c r="I667" s="70"/>
      <c r="J667" s="141"/>
      <c r="K667" s="113"/>
      <c r="M667" s="134"/>
      <c r="N667" s="134"/>
      <c r="O667" s="133"/>
    </row>
    <row r="668" spans="1:15" ht="12.75" customHeight="1">
      <c r="A668" s="103"/>
      <c r="B668" s="123" t="s">
        <v>186</v>
      </c>
      <c r="C668" s="122"/>
      <c r="D668" s="62">
        <v>1</v>
      </c>
      <c r="E668" s="61">
        <v>0.2</v>
      </c>
      <c r="F668" s="61">
        <v>0.4</v>
      </c>
      <c r="G668" s="61">
        <v>4.5999999999999996</v>
      </c>
      <c r="H668" s="61">
        <f t="shared" si="60"/>
        <v>0.36800000000000005</v>
      </c>
      <c r="I668" s="61"/>
      <c r="J668" s="121"/>
      <c r="K668" s="120"/>
      <c r="M668" s="134"/>
      <c r="N668" s="134"/>
      <c r="O668" s="133"/>
    </row>
    <row r="669" spans="1:15" ht="12.75" customHeight="1">
      <c r="A669" s="103"/>
      <c r="B669" s="123" t="s">
        <v>187</v>
      </c>
      <c r="C669" s="122"/>
      <c r="D669" s="62">
        <v>1</v>
      </c>
      <c r="E669" s="61">
        <v>0.2</v>
      </c>
      <c r="F669" s="61">
        <v>0.4</v>
      </c>
      <c r="G669" s="61">
        <v>4.7</v>
      </c>
      <c r="H669" s="61">
        <f t="shared" si="60"/>
        <v>0.37600000000000011</v>
      </c>
      <c r="I669" s="61"/>
      <c r="J669" s="121"/>
      <c r="K669" s="120"/>
      <c r="M669" s="134"/>
      <c r="N669" s="134"/>
      <c r="O669" s="133"/>
    </row>
    <row r="670" spans="1:15" ht="12.75" customHeight="1">
      <c r="A670" s="108"/>
      <c r="B670" s="112" t="s">
        <v>188</v>
      </c>
      <c r="C670" s="104"/>
      <c r="D670" s="73">
        <v>1</v>
      </c>
      <c r="E670" s="72">
        <v>0.2</v>
      </c>
      <c r="F670" s="72">
        <v>0.4</v>
      </c>
      <c r="G670" s="72">
        <v>3.83</v>
      </c>
      <c r="H670" s="72">
        <f t="shared" si="60"/>
        <v>0.30640000000000006</v>
      </c>
      <c r="I670" s="72"/>
      <c r="J670" s="124"/>
      <c r="K670" s="107"/>
      <c r="M670" s="134"/>
      <c r="N670" s="134"/>
      <c r="O670" s="133"/>
    </row>
    <row r="671" spans="1:15" ht="12.75" customHeight="1">
      <c r="A671" s="118"/>
      <c r="B671" s="94" t="s">
        <v>189</v>
      </c>
      <c r="C671" s="93"/>
      <c r="D671" s="69">
        <v>1</v>
      </c>
      <c r="E671" s="68">
        <v>0.2</v>
      </c>
      <c r="F671" s="68">
        <v>0.4</v>
      </c>
      <c r="G671" s="68">
        <v>3.59</v>
      </c>
      <c r="H671" s="68">
        <f t="shared" si="60"/>
        <v>0.28720000000000007</v>
      </c>
      <c r="I671" s="68"/>
      <c r="J671" s="114"/>
      <c r="K671" s="117"/>
      <c r="M671" s="134"/>
      <c r="N671" s="134"/>
      <c r="O671" s="133"/>
    </row>
    <row r="672" spans="1:15" ht="12.75" customHeight="1">
      <c r="A672" s="118"/>
      <c r="B672" s="94" t="s">
        <v>190</v>
      </c>
      <c r="C672" s="93"/>
      <c r="D672" s="69">
        <v>1</v>
      </c>
      <c r="E672" s="68">
        <v>0.2</v>
      </c>
      <c r="F672" s="68">
        <v>0.4</v>
      </c>
      <c r="G672" s="68">
        <v>3.98</v>
      </c>
      <c r="H672" s="68">
        <f t="shared" si="60"/>
        <v>0.31840000000000007</v>
      </c>
      <c r="I672" s="68"/>
      <c r="J672" s="114"/>
      <c r="K672" s="117"/>
      <c r="M672" s="134"/>
      <c r="N672" s="134"/>
      <c r="O672" s="133"/>
    </row>
    <row r="673" spans="1:15" ht="12.75" customHeight="1">
      <c r="A673" s="118"/>
      <c r="B673" s="94" t="s">
        <v>191</v>
      </c>
      <c r="C673" s="93"/>
      <c r="D673" s="69">
        <v>1</v>
      </c>
      <c r="E673" s="68">
        <v>0.2</v>
      </c>
      <c r="F673" s="68">
        <v>0.4</v>
      </c>
      <c r="G673" s="68">
        <v>4.7</v>
      </c>
      <c r="H673" s="68">
        <f t="shared" si="60"/>
        <v>0.37600000000000011</v>
      </c>
      <c r="I673" s="68"/>
      <c r="J673" s="114"/>
      <c r="K673" s="117"/>
      <c r="M673" s="134"/>
      <c r="N673" s="134"/>
      <c r="O673" s="133"/>
    </row>
    <row r="674" spans="1:15" ht="12.75" customHeight="1">
      <c r="A674" s="115"/>
      <c r="B674" s="111" t="s">
        <v>192</v>
      </c>
      <c r="C674" s="140"/>
      <c r="D674" s="71">
        <v>1</v>
      </c>
      <c r="E674" s="70">
        <v>0.2</v>
      </c>
      <c r="F674" s="70">
        <v>0.4</v>
      </c>
      <c r="G674" s="70">
        <v>4.7</v>
      </c>
      <c r="H674" s="70">
        <f t="shared" si="60"/>
        <v>0.37600000000000011</v>
      </c>
      <c r="I674" s="70"/>
      <c r="J674" s="141"/>
      <c r="K674" s="113"/>
      <c r="M674" s="134"/>
      <c r="N674" s="134"/>
      <c r="O674" s="133"/>
    </row>
    <row r="675" spans="1:15" ht="12.75" customHeight="1">
      <c r="A675" s="108"/>
      <c r="B675" s="112" t="s">
        <v>193</v>
      </c>
      <c r="C675" s="104"/>
      <c r="D675" s="73">
        <v>1</v>
      </c>
      <c r="E675" s="72">
        <v>0.2</v>
      </c>
      <c r="F675" s="72">
        <v>0.4</v>
      </c>
      <c r="G675" s="72">
        <v>4.7</v>
      </c>
      <c r="H675" s="72">
        <f t="shared" si="60"/>
        <v>0.37600000000000011</v>
      </c>
      <c r="I675" s="72"/>
      <c r="J675" s="124"/>
      <c r="K675" s="107"/>
      <c r="M675" s="134"/>
      <c r="N675" s="134"/>
      <c r="O675" s="133"/>
    </row>
    <row r="676" spans="1:15" ht="12.75" customHeight="1">
      <c r="A676" s="118"/>
      <c r="B676" s="94" t="s">
        <v>194</v>
      </c>
      <c r="C676" s="93"/>
      <c r="D676" s="69">
        <v>1</v>
      </c>
      <c r="E676" s="68">
        <v>0.2</v>
      </c>
      <c r="F676" s="68">
        <v>0.4</v>
      </c>
      <c r="G676" s="68">
        <v>4.7</v>
      </c>
      <c r="H676" s="68">
        <f t="shared" si="60"/>
        <v>0.37600000000000011</v>
      </c>
      <c r="I676" s="68"/>
      <c r="J676" s="114"/>
      <c r="K676" s="117"/>
      <c r="M676" s="134"/>
      <c r="N676" s="134"/>
      <c r="O676" s="133"/>
    </row>
    <row r="677" spans="1:15" ht="12.75" customHeight="1">
      <c r="A677" s="118"/>
      <c r="B677" s="94" t="s">
        <v>195</v>
      </c>
      <c r="C677" s="93"/>
      <c r="D677" s="69">
        <v>1</v>
      </c>
      <c r="E677" s="68">
        <v>0.2</v>
      </c>
      <c r="F677" s="68">
        <v>0.4</v>
      </c>
      <c r="G677" s="68">
        <v>4.7</v>
      </c>
      <c r="H677" s="68">
        <f t="shared" si="60"/>
        <v>0.37600000000000011</v>
      </c>
      <c r="I677" s="68"/>
      <c r="J677" s="114"/>
      <c r="K677" s="117"/>
      <c r="M677" s="134"/>
      <c r="N677" s="134"/>
      <c r="O677" s="133"/>
    </row>
    <row r="678" spans="1:15" ht="12.75" customHeight="1">
      <c r="A678" s="118"/>
      <c r="B678" s="94" t="s">
        <v>196</v>
      </c>
      <c r="C678" s="93"/>
      <c r="D678" s="69">
        <v>1</v>
      </c>
      <c r="E678" s="68">
        <v>0.2</v>
      </c>
      <c r="F678" s="68">
        <v>0.4</v>
      </c>
      <c r="G678" s="68">
        <v>4.7</v>
      </c>
      <c r="H678" s="68">
        <f t="shared" si="60"/>
        <v>0.37600000000000011</v>
      </c>
      <c r="I678" s="68"/>
      <c r="J678" s="114"/>
      <c r="K678" s="117"/>
      <c r="M678" s="134"/>
      <c r="N678" s="134"/>
      <c r="O678" s="133"/>
    </row>
    <row r="679" spans="1:15" ht="12.75" customHeight="1">
      <c r="A679" s="118"/>
      <c r="B679" s="94" t="s">
        <v>197</v>
      </c>
      <c r="C679" s="93"/>
      <c r="D679" s="69">
        <v>1</v>
      </c>
      <c r="E679" s="68">
        <v>0.2</v>
      </c>
      <c r="F679" s="68">
        <v>0.4</v>
      </c>
      <c r="G679" s="68">
        <v>4.7</v>
      </c>
      <c r="H679" s="68">
        <f t="shared" si="60"/>
        <v>0.37600000000000011</v>
      </c>
      <c r="I679" s="68"/>
      <c r="J679" s="114"/>
      <c r="K679" s="117"/>
      <c r="M679" s="134"/>
      <c r="N679" s="134"/>
      <c r="O679" s="133"/>
    </row>
    <row r="680" spans="1:15" ht="12.75" customHeight="1">
      <c r="A680" s="115"/>
      <c r="B680" s="111" t="s">
        <v>198</v>
      </c>
      <c r="C680" s="140"/>
      <c r="D680" s="71">
        <v>1</v>
      </c>
      <c r="E680" s="70">
        <v>0.2</v>
      </c>
      <c r="F680" s="70">
        <v>0.4</v>
      </c>
      <c r="G680" s="70">
        <v>4.7</v>
      </c>
      <c r="H680" s="70">
        <f t="shared" si="60"/>
        <v>0.37600000000000011</v>
      </c>
      <c r="I680" s="70"/>
      <c r="J680" s="141"/>
      <c r="K680" s="113"/>
      <c r="M680" s="134"/>
      <c r="N680" s="134"/>
      <c r="O680" s="133"/>
    </row>
    <row r="681" spans="1:15" ht="12.75" customHeight="1">
      <c r="A681" s="108"/>
      <c r="B681" s="112" t="s">
        <v>199</v>
      </c>
      <c r="C681" s="104"/>
      <c r="D681" s="73">
        <v>1</v>
      </c>
      <c r="E681" s="72">
        <v>0.2</v>
      </c>
      <c r="F681" s="72">
        <v>0.4</v>
      </c>
      <c r="G681" s="72">
        <v>4.68</v>
      </c>
      <c r="H681" s="72">
        <f t="shared" si="60"/>
        <v>0.37440000000000007</v>
      </c>
      <c r="I681" s="72"/>
      <c r="J681" s="124"/>
      <c r="K681" s="107"/>
      <c r="M681" s="134"/>
      <c r="N681" s="134"/>
      <c r="O681" s="133"/>
    </row>
    <row r="682" spans="1:15" ht="12.75" customHeight="1">
      <c r="A682" s="118"/>
      <c r="B682" s="94" t="s">
        <v>200</v>
      </c>
      <c r="C682" s="93"/>
      <c r="D682" s="69">
        <v>1</v>
      </c>
      <c r="E682" s="68">
        <v>0.2</v>
      </c>
      <c r="F682" s="68">
        <v>0.4</v>
      </c>
      <c r="G682" s="68">
        <v>4.6500000000000004</v>
      </c>
      <c r="H682" s="68">
        <f t="shared" si="60"/>
        <v>0.37200000000000011</v>
      </c>
      <c r="I682" s="68"/>
      <c r="J682" s="114"/>
      <c r="K682" s="117"/>
      <c r="M682" s="134"/>
      <c r="N682" s="134"/>
      <c r="O682" s="133"/>
    </row>
    <row r="683" spans="1:15" ht="12.75" customHeight="1">
      <c r="A683" s="115"/>
      <c r="B683" s="111" t="s">
        <v>201</v>
      </c>
      <c r="C683" s="140"/>
      <c r="D683" s="71">
        <v>1</v>
      </c>
      <c r="E683" s="70">
        <v>0.2</v>
      </c>
      <c r="F683" s="70">
        <v>0.4</v>
      </c>
      <c r="G683" s="70">
        <v>4.68</v>
      </c>
      <c r="H683" s="70">
        <f t="shared" si="60"/>
        <v>0.37440000000000007</v>
      </c>
      <c r="I683" s="70"/>
      <c r="J683" s="141"/>
      <c r="K683" s="113"/>
      <c r="M683" s="134"/>
      <c r="N683" s="134"/>
      <c r="O683" s="133"/>
    </row>
    <row r="684" spans="1:15" ht="12.75" customHeight="1" thickBot="1">
      <c r="A684" s="265"/>
      <c r="B684" s="266" t="s">
        <v>202</v>
      </c>
      <c r="C684" s="267"/>
      <c r="D684" s="268">
        <v>1</v>
      </c>
      <c r="E684" s="269">
        <v>0.2</v>
      </c>
      <c r="F684" s="269">
        <v>0.4</v>
      </c>
      <c r="G684" s="269">
        <v>4.7</v>
      </c>
      <c r="H684" s="269">
        <f t="shared" si="60"/>
        <v>0.37600000000000011</v>
      </c>
      <c r="I684" s="269"/>
      <c r="J684" s="270"/>
      <c r="K684" s="271"/>
      <c r="M684" s="134"/>
      <c r="N684" s="134"/>
      <c r="O684" s="133"/>
    </row>
    <row r="685" spans="1:15" ht="12.75" customHeight="1" thickTop="1">
      <c r="A685" s="91"/>
      <c r="B685" s="90"/>
      <c r="C685" s="90"/>
      <c r="D685" s="90"/>
      <c r="E685" s="90"/>
      <c r="F685" s="90"/>
      <c r="G685" s="90"/>
      <c r="H685" s="90"/>
      <c r="I685" s="90"/>
      <c r="J685" s="90"/>
      <c r="K685" s="89"/>
      <c r="M685" s="134"/>
      <c r="N685" s="134"/>
      <c r="O685" s="133"/>
    </row>
    <row r="686" spans="1:15" ht="16.5" customHeight="1">
      <c r="A686" s="569" t="s">
        <v>29</v>
      </c>
      <c r="B686" s="570"/>
      <c r="C686" s="570"/>
      <c r="D686" s="570"/>
      <c r="E686" s="570"/>
      <c r="F686" s="570"/>
      <c r="G686" s="570"/>
      <c r="H686" s="570"/>
      <c r="I686" s="570"/>
      <c r="J686" s="570"/>
      <c r="K686" s="571"/>
      <c r="M686" s="134"/>
      <c r="N686" s="134"/>
      <c r="O686" s="133"/>
    </row>
    <row r="687" spans="1:15" ht="17.25" customHeight="1">
      <c r="A687" s="572" t="s">
        <v>69</v>
      </c>
      <c r="B687" s="573"/>
      <c r="C687" s="573"/>
      <c r="D687" s="573"/>
      <c r="E687" s="573"/>
      <c r="F687" s="573"/>
      <c r="G687" s="573"/>
      <c r="H687" s="573"/>
      <c r="I687" s="573"/>
      <c r="J687" s="573"/>
      <c r="K687" s="574"/>
      <c r="M687" s="134"/>
      <c r="N687" s="134"/>
      <c r="O687" s="133"/>
    </row>
    <row r="688" spans="1:15" ht="16.5" customHeight="1">
      <c r="A688" s="88"/>
      <c r="B688" s="85"/>
      <c r="C688" s="85"/>
      <c r="D688" s="85"/>
      <c r="E688" s="85"/>
      <c r="F688" s="85"/>
      <c r="G688" s="85"/>
      <c r="H688" s="85"/>
      <c r="I688" s="85"/>
      <c r="J688" s="85"/>
      <c r="K688" s="87"/>
      <c r="M688" s="134"/>
      <c r="N688" s="134"/>
      <c r="O688" s="133"/>
    </row>
    <row r="689" spans="1:15" ht="6.75" customHeight="1">
      <c r="A689" s="55"/>
      <c r="B689" s="86"/>
      <c r="C689" s="86"/>
      <c r="D689" s="86"/>
      <c r="E689" s="86"/>
      <c r="F689" s="86"/>
      <c r="G689" s="86"/>
      <c r="H689" s="86"/>
      <c r="I689" s="86"/>
      <c r="J689" s="86"/>
      <c r="K689" s="81"/>
      <c r="M689" s="134"/>
      <c r="N689" s="134"/>
      <c r="O689" s="133"/>
    </row>
    <row r="690" spans="1:15" ht="12.75" customHeight="1">
      <c r="A690" s="575" t="s">
        <v>68</v>
      </c>
      <c r="B690" s="576"/>
      <c r="C690" s="576"/>
      <c r="D690" s="576"/>
      <c r="E690" s="576"/>
      <c r="F690" s="576"/>
      <c r="G690" s="576"/>
      <c r="H690" s="576"/>
      <c r="I690" s="576"/>
      <c r="J690" s="576"/>
      <c r="K690" s="577"/>
      <c r="M690" s="134"/>
      <c r="N690" s="134"/>
      <c r="O690" s="133"/>
    </row>
    <row r="691" spans="1:15" ht="7.5" customHeight="1">
      <c r="A691" s="55"/>
      <c r="B691" s="86"/>
      <c r="C691" s="86"/>
      <c r="D691" s="86"/>
      <c r="E691" s="86"/>
      <c r="F691" s="86"/>
      <c r="G691" s="86"/>
      <c r="H691" s="86"/>
      <c r="I691" s="86"/>
      <c r="J691" s="85"/>
      <c r="K691" s="81"/>
      <c r="M691" s="134"/>
      <c r="N691" s="134"/>
      <c r="O691" s="133"/>
    </row>
    <row r="692" spans="1:15" ht="12.75" customHeight="1">
      <c r="A692" s="84"/>
      <c r="B692" s="83" t="s">
        <v>11</v>
      </c>
      <c r="C692" s="578" t="s">
        <v>361</v>
      </c>
      <c r="D692" s="579"/>
      <c r="E692" s="579"/>
      <c r="F692" s="579"/>
      <c r="G692" s="579"/>
      <c r="H692" s="579"/>
      <c r="I692" s="579"/>
      <c r="J692" s="580"/>
      <c r="K692" s="81"/>
      <c r="M692" s="134"/>
      <c r="N692" s="134"/>
      <c r="O692" s="133"/>
    </row>
    <row r="693" spans="1:15" ht="8.25" customHeight="1">
      <c r="A693" s="80"/>
      <c r="K693" s="81"/>
      <c r="M693" s="134"/>
      <c r="N693" s="134"/>
      <c r="O693" s="133"/>
    </row>
    <row r="694" spans="1:15" ht="12.75" customHeight="1">
      <c r="A694" s="80"/>
      <c r="B694" s="82" t="s">
        <v>67</v>
      </c>
      <c r="C694" s="581" t="s">
        <v>66</v>
      </c>
      <c r="D694" s="582"/>
      <c r="E694" s="582"/>
      <c r="F694" s="582"/>
      <c r="G694" s="582"/>
      <c r="H694" s="582"/>
      <c r="I694" s="582"/>
      <c r="J694" s="583"/>
      <c r="K694" s="81"/>
      <c r="M694" s="134"/>
      <c r="N694" s="134"/>
      <c r="O694" s="133"/>
    </row>
    <row r="695" spans="1:15" ht="6.75" customHeight="1">
      <c r="A695" s="80"/>
      <c r="B695" s="79"/>
      <c r="D695" s="78"/>
      <c r="E695" s="78"/>
      <c r="F695" s="78"/>
      <c r="G695" s="78"/>
      <c r="H695" s="78"/>
      <c r="I695" s="78"/>
      <c r="K695" s="77"/>
      <c r="M695" s="134"/>
      <c r="N695" s="134"/>
      <c r="O695" s="133"/>
    </row>
    <row r="696" spans="1:15" ht="12.75" customHeight="1">
      <c r="A696" s="584" t="s">
        <v>84</v>
      </c>
      <c r="B696" s="585" t="s">
        <v>83</v>
      </c>
      <c r="C696" s="585" t="s">
        <v>82</v>
      </c>
      <c r="D696" s="585" t="s">
        <v>81</v>
      </c>
      <c r="E696" s="564" t="s">
        <v>80</v>
      </c>
      <c r="F696" s="564"/>
      <c r="G696" s="564"/>
      <c r="H696" s="564" t="s">
        <v>79</v>
      </c>
      <c r="I696" s="564"/>
      <c r="J696" s="564"/>
      <c r="K696" s="565" t="s">
        <v>58</v>
      </c>
      <c r="M696" s="134"/>
      <c r="N696" s="134"/>
      <c r="O696" s="133"/>
    </row>
    <row r="697" spans="1:15" ht="12.75" customHeight="1">
      <c r="A697" s="584"/>
      <c r="B697" s="585"/>
      <c r="C697" s="585"/>
      <c r="D697" s="585"/>
      <c r="E697" s="125" t="s">
        <v>78</v>
      </c>
      <c r="F697" s="125" t="s">
        <v>77</v>
      </c>
      <c r="G697" s="125" t="s">
        <v>76</v>
      </c>
      <c r="H697" s="125" t="s">
        <v>75</v>
      </c>
      <c r="I697" s="125" t="s">
        <v>74</v>
      </c>
      <c r="J697" s="125" t="s">
        <v>73</v>
      </c>
      <c r="K697" s="565"/>
      <c r="M697" s="134"/>
      <c r="N697" s="134"/>
      <c r="O697" s="133"/>
    </row>
    <row r="698" spans="1:15" ht="12.75" customHeight="1">
      <c r="A698" s="584"/>
      <c r="B698" s="585"/>
      <c r="C698" s="585"/>
      <c r="D698" s="585"/>
      <c r="E698" s="125" t="s">
        <v>70</v>
      </c>
      <c r="F698" s="125" t="s">
        <v>70</v>
      </c>
      <c r="G698" s="125" t="s">
        <v>70</v>
      </c>
      <c r="H698" s="125" t="s">
        <v>72</v>
      </c>
      <c r="I698" s="125" t="s">
        <v>71</v>
      </c>
      <c r="J698" s="125" t="s">
        <v>70</v>
      </c>
      <c r="K698" s="565"/>
      <c r="M698" s="134"/>
      <c r="N698" s="134"/>
      <c r="O698" s="133"/>
    </row>
    <row r="699" spans="1:15" ht="12.75" customHeight="1">
      <c r="A699" s="66">
        <v>10</v>
      </c>
      <c r="B699" s="65" t="s">
        <v>121</v>
      </c>
      <c r="C699" s="64" t="s">
        <v>48</v>
      </c>
      <c r="D699" s="76"/>
      <c r="E699" s="75"/>
      <c r="F699" s="75"/>
      <c r="G699" s="75"/>
      <c r="H699" s="75"/>
      <c r="I699" s="75"/>
      <c r="J699" s="74"/>
      <c r="K699" s="63"/>
      <c r="M699" s="134"/>
      <c r="N699" s="134"/>
      <c r="O699" s="133"/>
    </row>
    <row r="700" spans="1:15" ht="12.75" customHeight="1">
      <c r="A700" s="108"/>
      <c r="B700" s="112" t="s">
        <v>203</v>
      </c>
      <c r="C700" s="104"/>
      <c r="D700" s="73">
        <v>1</v>
      </c>
      <c r="E700" s="72">
        <v>0.2</v>
      </c>
      <c r="F700" s="72">
        <v>0.4</v>
      </c>
      <c r="G700" s="72">
        <v>4.5199999999999996</v>
      </c>
      <c r="H700" s="72">
        <f t="shared" si="60"/>
        <v>0.36160000000000003</v>
      </c>
      <c r="I700" s="72"/>
      <c r="J700" s="124"/>
      <c r="K700" s="107"/>
      <c r="M700" s="134"/>
      <c r="N700" s="134"/>
      <c r="O700" s="133"/>
    </row>
    <row r="701" spans="1:15" ht="12.75" customHeight="1">
      <c r="A701" s="115"/>
      <c r="B701" s="111" t="s">
        <v>204</v>
      </c>
      <c r="C701" s="140"/>
      <c r="D701" s="71">
        <v>1</v>
      </c>
      <c r="E701" s="70">
        <v>0.2</v>
      </c>
      <c r="F701" s="70">
        <v>0.4</v>
      </c>
      <c r="G701" s="70">
        <v>4.43</v>
      </c>
      <c r="H701" s="70">
        <f t="shared" si="60"/>
        <v>0.35440000000000005</v>
      </c>
      <c r="I701" s="70"/>
      <c r="J701" s="141"/>
      <c r="K701" s="113"/>
      <c r="M701" s="134"/>
      <c r="N701" s="134"/>
      <c r="O701" s="133"/>
    </row>
    <row r="702" spans="1:15" ht="12.75" customHeight="1">
      <c r="A702" s="108"/>
      <c r="B702" s="112" t="s">
        <v>205</v>
      </c>
      <c r="C702" s="104"/>
      <c r="D702" s="73">
        <v>1</v>
      </c>
      <c r="E702" s="72">
        <v>0.2</v>
      </c>
      <c r="F702" s="72">
        <v>0.4</v>
      </c>
      <c r="G702" s="72">
        <v>4.5999999999999996</v>
      </c>
      <c r="H702" s="72">
        <f t="shared" si="60"/>
        <v>0.36800000000000005</v>
      </c>
      <c r="I702" s="72"/>
      <c r="J702" s="124"/>
      <c r="K702" s="107"/>
      <c r="M702" s="134"/>
      <c r="N702" s="134"/>
      <c r="O702" s="133"/>
    </row>
    <row r="703" spans="1:15" ht="12.75" customHeight="1">
      <c r="A703" s="118"/>
      <c r="B703" s="94" t="s">
        <v>206</v>
      </c>
      <c r="C703" s="93"/>
      <c r="D703" s="69">
        <v>1</v>
      </c>
      <c r="E703" s="68">
        <v>0.2</v>
      </c>
      <c r="F703" s="68">
        <v>0.4</v>
      </c>
      <c r="G703" s="68">
        <v>4.5999999999999996</v>
      </c>
      <c r="H703" s="68">
        <f t="shared" si="60"/>
        <v>0.36800000000000005</v>
      </c>
      <c r="I703" s="68"/>
      <c r="J703" s="114"/>
      <c r="K703" s="117"/>
      <c r="M703" s="134"/>
      <c r="N703" s="134"/>
      <c r="O703" s="133"/>
    </row>
    <row r="704" spans="1:15" ht="12.75" customHeight="1">
      <c r="A704" s="115"/>
      <c r="B704" s="111" t="s">
        <v>207</v>
      </c>
      <c r="C704" s="140"/>
      <c r="D704" s="71">
        <v>1</v>
      </c>
      <c r="E704" s="70">
        <v>0.2</v>
      </c>
      <c r="F704" s="70">
        <v>0.4</v>
      </c>
      <c r="G704" s="70">
        <v>4.5999999999999996</v>
      </c>
      <c r="H704" s="70">
        <f t="shared" si="60"/>
        <v>0.36800000000000005</v>
      </c>
      <c r="I704" s="70"/>
      <c r="J704" s="141"/>
      <c r="K704" s="113"/>
      <c r="M704" s="134"/>
      <c r="N704" s="134"/>
      <c r="O704" s="133"/>
    </row>
    <row r="705" spans="1:15" ht="12.75" customHeight="1">
      <c r="A705" s="108"/>
      <c r="B705" s="112" t="s">
        <v>208</v>
      </c>
      <c r="C705" s="104"/>
      <c r="D705" s="73">
        <v>1</v>
      </c>
      <c r="E705" s="72">
        <v>0.2</v>
      </c>
      <c r="F705" s="72">
        <v>0.4</v>
      </c>
      <c r="G705" s="72">
        <v>2.2000000000000002</v>
      </c>
      <c r="H705" s="72">
        <f t="shared" si="60"/>
        <v>0.17600000000000005</v>
      </c>
      <c r="I705" s="72"/>
      <c r="J705" s="124"/>
      <c r="K705" s="107"/>
      <c r="M705" s="134"/>
      <c r="N705" s="134"/>
      <c r="O705" s="133"/>
    </row>
    <row r="706" spans="1:15" ht="12.75" customHeight="1">
      <c r="A706" s="118"/>
      <c r="B706" s="94" t="s">
        <v>209</v>
      </c>
      <c r="C706" s="93"/>
      <c r="D706" s="69">
        <v>1</v>
      </c>
      <c r="E706" s="68">
        <v>0.2</v>
      </c>
      <c r="F706" s="68">
        <v>0.4</v>
      </c>
      <c r="G706" s="68">
        <v>4.6500000000000004</v>
      </c>
      <c r="H706" s="68">
        <f t="shared" si="60"/>
        <v>0.37200000000000011</v>
      </c>
      <c r="I706" s="68"/>
      <c r="J706" s="114"/>
      <c r="K706" s="117"/>
      <c r="M706" s="134"/>
      <c r="N706" s="134"/>
      <c r="O706" s="133"/>
    </row>
    <row r="707" spans="1:15" ht="12.75" customHeight="1">
      <c r="A707" s="118"/>
      <c r="B707" s="94" t="s">
        <v>287</v>
      </c>
      <c r="C707" s="93"/>
      <c r="D707" s="69">
        <v>1</v>
      </c>
      <c r="E707" s="68">
        <v>0.2</v>
      </c>
      <c r="F707" s="68">
        <v>0.4</v>
      </c>
      <c r="G707" s="68">
        <v>2.0499999999999998</v>
      </c>
      <c r="H707" s="68">
        <f t="shared" si="60"/>
        <v>0.16400000000000001</v>
      </c>
      <c r="I707" s="68"/>
      <c r="J707" s="114"/>
      <c r="K707" s="117"/>
      <c r="M707" s="134"/>
      <c r="N707" s="134"/>
      <c r="O707" s="133"/>
    </row>
    <row r="708" spans="1:15" ht="12.75" customHeight="1">
      <c r="A708" s="118"/>
      <c r="B708" s="94" t="s">
        <v>288</v>
      </c>
      <c r="C708" s="93"/>
      <c r="D708" s="69">
        <v>1</v>
      </c>
      <c r="E708" s="68">
        <v>0.2</v>
      </c>
      <c r="F708" s="68">
        <v>0.4</v>
      </c>
      <c r="G708" s="68">
        <v>2.0499999999999998</v>
      </c>
      <c r="H708" s="68">
        <f t="shared" si="60"/>
        <v>0.16400000000000001</v>
      </c>
      <c r="I708" s="68"/>
      <c r="J708" s="114"/>
      <c r="K708" s="117"/>
      <c r="M708" s="134"/>
      <c r="N708" s="134"/>
      <c r="O708" s="133"/>
    </row>
    <row r="709" spans="1:15" ht="12.75" customHeight="1">
      <c r="A709" s="118"/>
      <c r="B709" s="94" t="s">
        <v>210</v>
      </c>
      <c r="C709" s="93"/>
      <c r="D709" s="69">
        <v>1</v>
      </c>
      <c r="E709" s="68">
        <v>0.2</v>
      </c>
      <c r="F709" s="68">
        <v>0.4</v>
      </c>
      <c r="G709" s="68">
        <v>4.6500000000000004</v>
      </c>
      <c r="H709" s="68">
        <f t="shared" si="60"/>
        <v>0.37200000000000011</v>
      </c>
      <c r="I709" s="68"/>
      <c r="J709" s="114"/>
      <c r="K709" s="117"/>
      <c r="M709" s="134"/>
      <c r="N709" s="134"/>
      <c r="O709" s="133"/>
    </row>
    <row r="710" spans="1:15" ht="12.75" customHeight="1">
      <c r="A710" s="115"/>
      <c r="B710" s="111" t="s">
        <v>211</v>
      </c>
      <c r="C710" s="140"/>
      <c r="D710" s="71">
        <v>1</v>
      </c>
      <c r="E710" s="70">
        <v>0.2</v>
      </c>
      <c r="F710" s="70">
        <v>0.4</v>
      </c>
      <c r="G710" s="70">
        <v>2.2000000000000002</v>
      </c>
      <c r="H710" s="70">
        <f t="shared" si="60"/>
        <v>0.17600000000000005</v>
      </c>
      <c r="I710" s="70"/>
      <c r="J710" s="141"/>
      <c r="K710" s="113"/>
      <c r="M710" s="134"/>
      <c r="N710" s="134"/>
      <c r="O710" s="133"/>
    </row>
    <row r="711" spans="1:15" ht="12.75" customHeight="1">
      <c r="A711" s="108"/>
      <c r="B711" s="112" t="s">
        <v>212</v>
      </c>
      <c r="C711" s="104"/>
      <c r="D711" s="73">
        <v>1</v>
      </c>
      <c r="E711" s="72">
        <v>0.2</v>
      </c>
      <c r="F711" s="72">
        <v>0.4</v>
      </c>
      <c r="G711" s="72">
        <v>4.45</v>
      </c>
      <c r="H711" s="72">
        <f t="shared" si="60"/>
        <v>0.35600000000000009</v>
      </c>
      <c r="I711" s="72"/>
      <c r="J711" s="124"/>
      <c r="K711" s="107"/>
      <c r="M711" s="134"/>
      <c r="N711" s="134"/>
      <c r="O711" s="133"/>
    </row>
    <row r="712" spans="1:15" ht="12.75" customHeight="1">
      <c r="A712" s="118"/>
      <c r="B712" s="94" t="s">
        <v>213</v>
      </c>
      <c r="C712" s="93"/>
      <c r="D712" s="69">
        <v>1</v>
      </c>
      <c r="E712" s="68">
        <v>0.2</v>
      </c>
      <c r="F712" s="68">
        <v>0.4</v>
      </c>
      <c r="G712" s="68">
        <v>4.5999999999999996</v>
      </c>
      <c r="H712" s="68">
        <f t="shared" si="60"/>
        <v>0.36800000000000005</v>
      </c>
      <c r="I712" s="68"/>
      <c r="J712" s="114"/>
      <c r="K712" s="117"/>
      <c r="M712" s="134"/>
      <c r="N712" s="134"/>
      <c r="O712" s="133"/>
    </row>
    <row r="713" spans="1:15" ht="12.75" customHeight="1">
      <c r="A713" s="118"/>
      <c r="B713" s="94" t="s">
        <v>214</v>
      </c>
      <c r="C713" s="93"/>
      <c r="D713" s="69">
        <v>1</v>
      </c>
      <c r="E713" s="68">
        <v>0.2</v>
      </c>
      <c r="F713" s="68">
        <v>0.4</v>
      </c>
      <c r="G713" s="68">
        <v>4.5999999999999996</v>
      </c>
      <c r="H713" s="68">
        <f t="shared" si="60"/>
        <v>0.36800000000000005</v>
      </c>
      <c r="I713" s="68"/>
      <c r="J713" s="114"/>
      <c r="K713" s="117"/>
      <c r="M713" s="134"/>
      <c r="N713" s="134"/>
      <c r="O713" s="133"/>
    </row>
    <row r="714" spans="1:15" ht="12.75" customHeight="1">
      <c r="A714" s="118"/>
      <c r="B714" s="94" t="s">
        <v>215</v>
      </c>
      <c r="C714" s="93"/>
      <c r="D714" s="69">
        <v>1</v>
      </c>
      <c r="E714" s="68">
        <v>0.2</v>
      </c>
      <c r="F714" s="68">
        <v>0.4</v>
      </c>
      <c r="G714" s="68">
        <v>4.5999999999999996</v>
      </c>
      <c r="H714" s="68">
        <f t="shared" si="60"/>
        <v>0.36800000000000005</v>
      </c>
      <c r="I714" s="68"/>
      <c r="J714" s="114"/>
      <c r="K714" s="117"/>
      <c r="M714" s="134"/>
      <c r="N714" s="134"/>
      <c r="O714" s="133"/>
    </row>
    <row r="715" spans="1:15" ht="12.75" customHeight="1">
      <c r="A715" s="118"/>
      <c r="B715" s="94" t="s">
        <v>216</v>
      </c>
      <c r="C715" s="93"/>
      <c r="D715" s="69">
        <v>1</v>
      </c>
      <c r="E715" s="68">
        <v>0.2</v>
      </c>
      <c r="F715" s="68">
        <v>0.4</v>
      </c>
      <c r="G715" s="68">
        <v>4.5999999999999996</v>
      </c>
      <c r="H715" s="68">
        <f t="shared" si="60"/>
        <v>0.36800000000000005</v>
      </c>
      <c r="I715" s="68"/>
      <c r="J715" s="114"/>
      <c r="K715" s="117"/>
      <c r="M715" s="134"/>
      <c r="N715" s="134"/>
      <c r="O715" s="133"/>
    </row>
    <row r="716" spans="1:15" ht="12.75" customHeight="1">
      <c r="A716" s="118"/>
      <c r="B716" s="94" t="s">
        <v>289</v>
      </c>
      <c r="C716" s="93"/>
      <c r="D716" s="69">
        <v>1</v>
      </c>
      <c r="E716" s="68">
        <v>0.2</v>
      </c>
      <c r="F716" s="68">
        <v>0.4</v>
      </c>
      <c r="G716" s="68">
        <v>2.11</v>
      </c>
      <c r="H716" s="68">
        <f t="shared" si="60"/>
        <v>0.16880000000000003</v>
      </c>
      <c r="I716" s="68"/>
      <c r="J716" s="114"/>
      <c r="K716" s="117"/>
      <c r="M716" s="134"/>
      <c r="N716" s="134"/>
      <c r="O716" s="133"/>
    </row>
    <row r="717" spans="1:15" ht="12.75" customHeight="1">
      <c r="A717" s="116"/>
      <c r="B717" s="161" t="s">
        <v>217</v>
      </c>
      <c r="C717" s="162"/>
      <c r="D717" s="163">
        <v>1</v>
      </c>
      <c r="E717" s="67">
        <v>0.2</v>
      </c>
      <c r="F717" s="67">
        <v>0.4</v>
      </c>
      <c r="G717" s="67">
        <v>4.6500000000000004</v>
      </c>
      <c r="H717" s="67">
        <f t="shared" si="60"/>
        <v>0.37200000000000011</v>
      </c>
      <c r="I717" s="67"/>
      <c r="J717" s="128"/>
      <c r="K717" s="164"/>
      <c r="M717" s="134"/>
      <c r="N717" s="134"/>
      <c r="O717" s="133"/>
    </row>
    <row r="718" spans="1:15" ht="12.75" customHeight="1">
      <c r="A718" s="115"/>
      <c r="B718" s="111" t="s">
        <v>218</v>
      </c>
      <c r="C718" s="140"/>
      <c r="D718" s="71">
        <v>1</v>
      </c>
      <c r="E718" s="70">
        <v>0.2</v>
      </c>
      <c r="F718" s="70">
        <v>0.4</v>
      </c>
      <c r="G718" s="70">
        <v>2.2000000000000002</v>
      </c>
      <c r="H718" s="70">
        <f t="shared" ref="H718:H739" si="61">PRODUCT(D718:G718)</f>
        <v>0.17600000000000005</v>
      </c>
      <c r="I718" s="70"/>
      <c r="J718" s="141"/>
      <c r="K718" s="113"/>
      <c r="M718" s="134"/>
      <c r="N718" s="134"/>
      <c r="O718" s="133"/>
    </row>
    <row r="719" spans="1:15" ht="12.75" customHeight="1">
      <c r="A719" s="108"/>
      <c r="B719" s="112" t="s">
        <v>219</v>
      </c>
      <c r="C719" s="104"/>
      <c r="D719" s="73">
        <v>1</v>
      </c>
      <c r="E719" s="72">
        <v>0.2</v>
      </c>
      <c r="F719" s="72">
        <v>0.4</v>
      </c>
      <c r="G719" s="72">
        <v>4.55</v>
      </c>
      <c r="H719" s="72">
        <f t="shared" si="61"/>
        <v>0.36400000000000005</v>
      </c>
      <c r="I719" s="72"/>
      <c r="J719" s="124"/>
      <c r="K719" s="107"/>
      <c r="M719" s="134"/>
      <c r="N719" s="134"/>
      <c r="O719" s="133"/>
    </row>
    <row r="720" spans="1:15" ht="12.75" customHeight="1">
      <c r="A720" s="118"/>
      <c r="B720" s="94" t="s">
        <v>220</v>
      </c>
      <c r="C720" s="93"/>
      <c r="D720" s="69">
        <v>1</v>
      </c>
      <c r="E720" s="68">
        <v>0.2</v>
      </c>
      <c r="F720" s="68">
        <v>0.4</v>
      </c>
      <c r="G720" s="68">
        <v>4.55</v>
      </c>
      <c r="H720" s="68">
        <f t="shared" si="61"/>
        <v>0.36400000000000005</v>
      </c>
      <c r="I720" s="68"/>
      <c r="J720" s="114"/>
      <c r="K720" s="117"/>
      <c r="M720" s="134"/>
      <c r="N720" s="134"/>
      <c r="O720" s="133"/>
    </row>
    <row r="721" spans="1:15" ht="12.75" customHeight="1">
      <c r="A721" s="118"/>
      <c r="B721" s="94" t="s">
        <v>221</v>
      </c>
      <c r="C721" s="93"/>
      <c r="D721" s="69">
        <v>1</v>
      </c>
      <c r="E721" s="68">
        <v>0.2</v>
      </c>
      <c r="F721" s="68">
        <v>0.4</v>
      </c>
      <c r="G721" s="68">
        <v>4.5999999999999996</v>
      </c>
      <c r="H721" s="68">
        <f t="shared" si="61"/>
        <v>0.36800000000000005</v>
      </c>
      <c r="I721" s="68"/>
      <c r="J721" s="114"/>
      <c r="K721" s="117"/>
      <c r="M721" s="134"/>
      <c r="N721" s="134"/>
      <c r="O721" s="133"/>
    </row>
    <row r="722" spans="1:15" ht="12.75" customHeight="1">
      <c r="A722" s="115"/>
      <c r="B722" s="111" t="s">
        <v>222</v>
      </c>
      <c r="C722" s="140"/>
      <c r="D722" s="71">
        <v>1</v>
      </c>
      <c r="E722" s="70">
        <v>0.2</v>
      </c>
      <c r="F722" s="70">
        <v>0.4</v>
      </c>
      <c r="G722" s="70">
        <v>4.63</v>
      </c>
      <c r="H722" s="70">
        <f t="shared" si="61"/>
        <v>0.37040000000000006</v>
      </c>
      <c r="I722" s="70"/>
      <c r="J722" s="141"/>
      <c r="K722" s="113"/>
      <c r="M722" s="134"/>
      <c r="N722" s="134"/>
      <c r="O722" s="133"/>
    </row>
    <row r="723" spans="1:15" ht="12.75" customHeight="1">
      <c r="A723" s="108"/>
      <c r="B723" s="112" t="s">
        <v>223</v>
      </c>
      <c r="C723" s="104"/>
      <c r="D723" s="73">
        <v>1</v>
      </c>
      <c r="E723" s="72">
        <v>0.2</v>
      </c>
      <c r="F723" s="72">
        <v>0.4</v>
      </c>
      <c r="G723" s="72">
        <v>4.6399999999999997</v>
      </c>
      <c r="H723" s="72">
        <f t="shared" si="61"/>
        <v>0.37120000000000003</v>
      </c>
      <c r="I723" s="72"/>
      <c r="J723" s="124"/>
      <c r="K723" s="107"/>
      <c r="M723" s="134"/>
      <c r="N723" s="134"/>
      <c r="O723" s="133"/>
    </row>
    <row r="724" spans="1:15" ht="12.75" customHeight="1">
      <c r="A724" s="118"/>
      <c r="B724" s="94" t="s">
        <v>224</v>
      </c>
      <c r="C724" s="93"/>
      <c r="D724" s="69">
        <v>1</v>
      </c>
      <c r="E724" s="68">
        <v>0.2</v>
      </c>
      <c r="F724" s="68">
        <v>0.4</v>
      </c>
      <c r="G724" s="68">
        <v>3.24</v>
      </c>
      <c r="H724" s="68">
        <f t="shared" si="61"/>
        <v>0.25920000000000004</v>
      </c>
      <c r="I724" s="68"/>
      <c r="J724" s="114"/>
      <c r="K724" s="117"/>
      <c r="M724" s="134"/>
      <c r="N724" s="134"/>
      <c r="O724" s="133"/>
    </row>
    <row r="725" spans="1:15" ht="12.75" customHeight="1">
      <c r="A725" s="118"/>
      <c r="B725" s="94" t="s">
        <v>225</v>
      </c>
      <c r="C725" s="93"/>
      <c r="D725" s="69">
        <v>1</v>
      </c>
      <c r="E725" s="68">
        <v>0.2</v>
      </c>
      <c r="F725" s="68">
        <v>0.4</v>
      </c>
      <c r="G725" s="68">
        <v>3.24</v>
      </c>
      <c r="H725" s="68">
        <f t="shared" si="61"/>
        <v>0.25920000000000004</v>
      </c>
      <c r="I725" s="68"/>
      <c r="J725" s="114"/>
      <c r="K725" s="117"/>
      <c r="M725" s="134"/>
      <c r="N725" s="134"/>
      <c r="O725" s="133"/>
    </row>
    <row r="726" spans="1:15" ht="12.75" customHeight="1">
      <c r="A726" s="118"/>
      <c r="B726" s="94" t="s">
        <v>226</v>
      </c>
      <c r="C726" s="93"/>
      <c r="D726" s="69">
        <v>1</v>
      </c>
      <c r="E726" s="68">
        <v>0.2</v>
      </c>
      <c r="F726" s="68">
        <v>0.4</v>
      </c>
      <c r="G726" s="68">
        <v>3.18</v>
      </c>
      <c r="H726" s="68">
        <f t="shared" si="61"/>
        <v>0.25440000000000007</v>
      </c>
      <c r="I726" s="68"/>
      <c r="J726" s="114"/>
      <c r="K726" s="117"/>
      <c r="M726" s="134"/>
      <c r="N726" s="134"/>
      <c r="O726" s="133"/>
    </row>
    <row r="727" spans="1:15" ht="12.75" customHeight="1">
      <c r="A727" s="118"/>
      <c r="B727" s="94" t="s">
        <v>227</v>
      </c>
      <c r="C727" s="93"/>
      <c r="D727" s="69">
        <v>1</v>
      </c>
      <c r="E727" s="68">
        <v>0.2</v>
      </c>
      <c r="F727" s="68">
        <v>0.4</v>
      </c>
      <c r="G727" s="68">
        <v>2.2000000000000002</v>
      </c>
      <c r="H727" s="68">
        <f t="shared" si="61"/>
        <v>0.17600000000000005</v>
      </c>
      <c r="I727" s="68"/>
      <c r="J727" s="114"/>
      <c r="K727" s="117"/>
      <c r="M727" s="134"/>
      <c r="N727" s="134"/>
      <c r="O727" s="133"/>
    </row>
    <row r="728" spans="1:15" ht="12.75" customHeight="1">
      <c r="A728" s="118"/>
      <c r="B728" s="94" t="s">
        <v>228</v>
      </c>
      <c r="C728" s="93"/>
      <c r="D728" s="69">
        <v>1</v>
      </c>
      <c r="E728" s="68">
        <v>0.2</v>
      </c>
      <c r="F728" s="68">
        <v>0.4</v>
      </c>
      <c r="G728" s="68">
        <v>4.84</v>
      </c>
      <c r="H728" s="68">
        <f t="shared" si="61"/>
        <v>0.38720000000000004</v>
      </c>
      <c r="I728" s="68"/>
      <c r="J728" s="114"/>
      <c r="K728" s="117"/>
      <c r="M728" s="134"/>
      <c r="N728" s="134"/>
      <c r="O728" s="133"/>
    </row>
    <row r="729" spans="1:15" ht="12.75" customHeight="1">
      <c r="A729" s="118"/>
      <c r="B729" s="94" t="s">
        <v>229</v>
      </c>
      <c r="C729" s="93"/>
      <c r="D729" s="69">
        <v>1</v>
      </c>
      <c r="E729" s="68">
        <v>0.2</v>
      </c>
      <c r="F729" s="68">
        <v>0.4</v>
      </c>
      <c r="G729" s="68">
        <v>4.8</v>
      </c>
      <c r="H729" s="68">
        <f t="shared" si="61"/>
        <v>0.38400000000000006</v>
      </c>
      <c r="I729" s="68"/>
      <c r="J729" s="114"/>
      <c r="K729" s="117"/>
      <c r="M729" s="134"/>
      <c r="N729" s="134"/>
      <c r="O729" s="133"/>
    </row>
    <row r="730" spans="1:15" ht="12.75" customHeight="1">
      <c r="A730" s="118"/>
      <c r="B730" s="94" t="s">
        <v>230</v>
      </c>
      <c r="C730" s="93"/>
      <c r="D730" s="69">
        <v>1</v>
      </c>
      <c r="E730" s="68">
        <v>0.2</v>
      </c>
      <c r="F730" s="68">
        <v>0.4</v>
      </c>
      <c r="G730" s="68">
        <v>4.8</v>
      </c>
      <c r="H730" s="68">
        <f t="shared" si="61"/>
        <v>0.38400000000000006</v>
      </c>
      <c r="I730" s="68"/>
      <c r="J730" s="114"/>
      <c r="K730" s="117"/>
      <c r="M730" s="134"/>
      <c r="N730" s="134"/>
      <c r="O730" s="133"/>
    </row>
    <row r="731" spans="1:15" ht="12.75" customHeight="1">
      <c r="A731" s="118"/>
      <c r="B731" s="94" t="s">
        <v>232</v>
      </c>
      <c r="C731" s="93"/>
      <c r="D731" s="69">
        <v>1</v>
      </c>
      <c r="E731" s="68">
        <v>0.2</v>
      </c>
      <c r="F731" s="68">
        <v>0.4</v>
      </c>
      <c r="G731" s="68">
        <v>4.84</v>
      </c>
      <c r="H731" s="68">
        <f t="shared" si="61"/>
        <v>0.38720000000000004</v>
      </c>
      <c r="I731" s="68"/>
      <c r="J731" s="114"/>
      <c r="K731" s="117"/>
      <c r="M731" s="134"/>
      <c r="N731" s="134"/>
      <c r="O731" s="133"/>
    </row>
    <row r="732" spans="1:15" ht="12.75" customHeight="1">
      <c r="A732" s="118"/>
      <c r="B732" s="94" t="s">
        <v>231</v>
      </c>
      <c r="C732" s="93"/>
      <c r="D732" s="69">
        <v>1</v>
      </c>
      <c r="E732" s="68">
        <v>0.2</v>
      </c>
      <c r="F732" s="68">
        <v>0.4</v>
      </c>
      <c r="G732" s="68">
        <v>2.2000000000000002</v>
      </c>
      <c r="H732" s="68">
        <f t="shared" si="61"/>
        <v>0.17600000000000005</v>
      </c>
      <c r="I732" s="68"/>
      <c r="J732" s="114"/>
      <c r="K732" s="117"/>
      <c r="M732" s="134"/>
      <c r="N732" s="134"/>
      <c r="O732" s="133"/>
    </row>
    <row r="733" spans="1:15" ht="12.75" customHeight="1">
      <c r="A733" s="118"/>
      <c r="B733" s="94" t="s">
        <v>233</v>
      </c>
      <c r="C733" s="93"/>
      <c r="D733" s="69">
        <v>1</v>
      </c>
      <c r="E733" s="68">
        <v>0.2</v>
      </c>
      <c r="F733" s="68">
        <v>0.4</v>
      </c>
      <c r="G733" s="68">
        <v>3.18</v>
      </c>
      <c r="H733" s="68">
        <f t="shared" si="61"/>
        <v>0.25440000000000007</v>
      </c>
      <c r="I733" s="68"/>
      <c r="J733" s="114"/>
      <c r="K733" s="117"/>
      <c r="M733" s="134"/>
      <c r="N733" s="134"/>
      <c r="O733" s="133"/>
    </row>
    <row r="734" spans="1:15" ht="12.75" customHeight="1">
      <c r="A734" s="118"/>
      <c r="B734" s="94" t="s">
        <v>234</v>
      </c>
      <c r="C734" s="93"/>
      <c r="D734" s="69">
        <v>1</v>
      </c>
      <c r="E734" s="68">
        <v>0.2</v>
      </c>
      <c r="F734" s="68">
        <v>0.4</v>
      </c>
      <c r="G734" s="68">
        <v>3.24</v>
      </c>
      <c r="H734" s="68">
        <f t="shared" si="61"/>
        <v>0.25920000000000004</v>
      </c>
      <c r="I734" s="68"/>
      <c r="J734" s="114"/>
      <c r="K734" s="117"/>
      <c r="M734" s="134"/>
      <c r="N734" s="134"/>
      <c r="O734" s="133"/>
    </row>
    <row r="735" spans="1:15" ht="12.75" customHeight="1">
      <c r="A735" s="118"/>
      <c r="B735" s="94" t="s">
        <v>235</v>
      </c>
      <c r="C735" s="93"/>
      <c r="D735" s="69">
        <v>1</v>
      </c>
      <c r="E735" s="68">
        <v>0.2</v>
      </c>
      <c r="F735" s="68">
        <v>0.4</v>
      </c>
      <c r="G735" s="68">
        <v>3.24</v>
      </c>
      <c r="H735" s="68">
        <f t="shared" si="61"/>
        <v>0.25920000000000004</v>
      </c>
      <c r="I735" s="68"/>
      <c r="J735" s="114"/>
      <c r="K735" s="117"/>
      <c r="M735" s="134"/>
      <c r="N735" s="134"/>
      <c r="O735" s="133"/>
    </row>
    <row r="736" spans="1:15" ht="12.75" customHeight="1">
      <c r="A736" s="118"/>
      <c r="B736" s="94" t="s">
        <v>236</v>
      </c>
      <c r="C736" s="93"/>
      <c r="D736" s="69">
        <v>1</v>
      </c>
      <c r="E736" s="68">
        <v>0.2</v>
      </c>
      <c r="F736" s="68">
        <v>0.4</v>
      </c>
      <c r="G736" s="68">
        <v>3.17</v>
      </c>
      <c r="H736" s="68">
        <f t="shared" si="61"/>
        <v>0.25360000000000005</v>
      </c>
      <c r="I736" s="68"/>
      <c r="J736" s="114"/>
      <c r="K736" s="117"/>
      <c r="M736" s="134"/>
      <c r="N736" s="134"/>
      <c r="O736" s="133"/>
    </row>
    <row r="737" spans="1:15" ht="12.75" customHeight="1">
      <c r="A737" s="115"/>
      <c r="B737" s="111" t="s">
        <v>237</v>
      </c>
      <c r="C737" s="140"/>
      <c r="D737" s="71">
        <v>1</v>
      </c>
      <c r="E737" s="70">
        <v>0.2</v>
      </c>
      <c r="F737" s="70">
        <v>0.4</v>
      </c>
      <c r="G737" s="70">
        <v>2.2000000000000002</v>
      </c>
      <c r="H737" s="70">
        <f t="shared" si="61"/>
        <v>0.17600000000000005</v>
      </c>
      <c r="I737" s="70"/>
      <c r="J737" s="141"/>
      <c r="K737" s="113"/>
      <c r="M737" s="134"/>
      <c r="N737" s="134"/>
      <c r="O737" s="133"/>
    </row>
    <row r="738" spans="1:15" ht="12.75" customHeight="1">
      <c r="A738" s="108"/>
      <c r="B738" s="112" t="s">
        <v>238</v>
      </c>
      <c r="C738" s="104"/>
      <c r="D738" s="73">
        <v>1</v>
      </c>
      <c r="E738" s="72">
        <v>0.2</v>
      </c>
      <c r="F738" s="72">
        <v>0.4</v>
      </c>
      <c r="G738" s="72">
        <v>3.08</v>
      </c>
      <c r="H738" s="72">
        <f t="shared" si="61"/>
        <v>0.24640000000000006</v>
      </c>
      <c r="I738" s="72"/>
      <c r="J738" s="124"/>
      <c r="K738" s="107"/>
      <c r="M738" s="134"/>
      <c r="N738" s="134"/>
      <c r="O738" s="133"/>
    </row>
    <row r="739" spans="1:15" ht="12.75" customHeight="1">
      <c r="A739" s="115"/>
      <c r="B739" s="111" t="s">
        <v>239</v>
      </c>
      <c r="C739" s="140"/>
      <c r="D739" s="71">
        <v>1</v>
      </c>
      <c r="E739" s="70">
        <v>0.2</v>
      </c>
      <c r="F739" s="70">
        <v>0.4</v>
      </c>
      <c r="G739" s="70">
        <v>3.04</v>
      </c>
      <c r="H739" s="70">
        <f t="shared" si="61"/>
        <v>0.24320000000000006</v>
      </c>
      <c r="I739" s="70"/>
      <c r="J739" s="141"/>
      <c r="K739" s="113"/>
      <c r="M739" s="134"/>
      <c r="N739" s="134"/>
      <c r="O739" s="133"/>
    </row>
    <row r="740" spans="1:15" ht="12.75" customHeight="1">
      <c r="A740" s="152"/>
      <c r="B740" s="156"/>
      <c r="C740" s="153"/>
      <c r="D740" s="49"/>
      <c r="E740" s="48"/>
      <c r="F740" s="48"/>
      <c r="G740" s="48"/>
      <c r="H740" s="48"/>
      <c r="I740" s="48"/>
      <c r="J740" s="154"/>
      <c r="K740" s="155"/>
      <c r="M740" s="134"/>
      <c r="N740" s="134"/>
      <c r="O740" s="133"/>
    </row>
    <row r="741" spans="1:15" ht="12.75" customHeight="1">
      <c r="A741" s="152"/>
      <c r="B741" s="156"/>
      <c r="C741" s="153"/>
      <c r="D741" s="49"/>
      <c r="E741" s="48"/>
      <c r="F741" s="48"/>
      <c r="G741" s="48"/>
      <c r="H741" s="48"/>
      <c r="I741" s="48"/>
      <c r="J741" s="154"/>
      <c r="K741" s="155"/>
      <c r="M741" s="134"/>
      <c r="N741" s="134"/>
      <c r="O741" s="133"/>
    </row>
    <row r="742" spans="1:15" ht="12.75" customHeight="1">
      <c r="A742" s="152"/>
      <c r="B742" s="156"/>
      <c r="C742" s="153"/>
      <c r="D742" s="49"/>
      <c r="E742" s="48"/>
      <c r="F742" s="48"/>
      <c r="G742" s="48"/>
      <c r="H742" s="48"/>
      <c r="I742" s="48"/>
      <c r="J742" s="154"/>
      <c r="K742" s="155"/>
      <c r="M742" s="134"/>
      <c r="N742" s="134"/>
      <c r="O742" s="133"/>
    </row>
    <row r="743" spans="1:15" ht="12.75" customHeight="1" thickBot="1">
      <c r="A743" s="272"/>
      <c r="B743" s="273"/>
      <c r="C743" s="274"/>
      <c r="D743" s="275"/>
      <c r="E743" s="276"/>
      <c r="F743" s="276"/>
      <c r="G743" s="276"/>
      <c r="H743" s="276"/>
      <c r="I743" s="276"/>
      <c r="J743" s="277"/>
      <c r="K743" s="278"/>
      <c r="M743" s="134"/>
      <c r="N743" s="134"/>
      <c r="O743" s="133"/>
    </row>
    <row r="744" spans="1:15" ht="12.75" customHeight="1" thickTop="1">
      <c r="A744" s="91"/>
      <c r="B744" s="90"/>
      <c r="C744" s="90"/>
      <c r="D744" s="90"/>
      <c r="E744" s="90"/>
      <c r="F744" s="90"/>
      <c r="G744" s="90"/>
      <c r="H744" s="90"/>
      <c r="I744" s="90"/>
      <c r="J744" s="90"/>
      <c r="K744" s="89"/>
      <c r="M744" s="134"/>
      <c r="N744" s="134"/>
      <c r="O744" s="133"/>
    </row>
    <row r="745" spans="1:15" ht="18.75" customHeight="1">
      <c r="A745" s="569" t="s">
        <v>29</v>
      </c>
      <c r="B745" s="570"/>
      <c r="C745" s="570"/>
      <c r="D745" s="570"/>
      <c r="E745" s="570"/>
      <c r="F745" s="570"/>
      <c r="G745" s="570"/>
      <c r="H745" s="570"/>
      <c r="I745" s="570"/>
      <c r="J745" s="570"/>
      <c r="K745" s="571"/>
      <c r="M745" s="134"/>
      <c r="N745" s="134"/>
      <c r="O745" s="133"/>
    </row>
    <row r="746" spans="1:15" ht="18.75" customHeight="1">
      <c r="A746" s="572" t="s">
        <v>69</v>
      </c>
      <c r="B746" s="573"/>
      <c r="C746" s="573"/>
      <c r="D746" s="573"/>
      <c r="E746" s="573"/>
      <c r="F746" s="573"/>
      <c r="G746" s="573"/>
      <c r="H746" s="573"/>
      <c r="I746" s="573"/>
      <c r="J746" s="573"/>
      <c r="K746" s="574"/>
      <c r="M746" s="134"/>
      <c r="N746" s="134"/>
      <c r="O746" s="133"/>
    </row>
    <row r="747" spans="1:15" ht="12.75" customHeight="1">
      <c r="A747" s="88"/>
      <c r="B747" s="85"/>
      <c r="C747" s="85"/>
      <c r="D747" s="85"/>
      <c r="E747" s="85"/>
      <c r="F747" s="85"/>
      <c r="G747" s="85"/>
      <c r="H747" s="85"/>
      <c r="I747" s="85"/>
      <c r="J747" s="85"/>
      <c r="K747" s="87"/>
      <c r="M747" s="134"/>
      <c r="N747" s="134"/>
      <c r="O747" s="133"/>
    </row>
    <row r="748" spans="1:15" ht="7.5" customHeight="1">
      <c r="A748" s="55"/>
      <c r="B748" s="86"/>
      <c r="C748" s="86"/>
      <c r="D748" s="86"/>
      <c r="E748" s="86"/>
      <c r="F748" s="86"/>
      <c r="G748" s="86"/>
      <c r="H748" s="86"/>
      <c r="I748" s="86"/>
      <c r="J748" s="86"/>
      <c r="K748" s="81"/>
      <c r="M748" s="134"/>
      <c r="N748" s="134"/>
      <c r="O748" s="133"/>
    </row>
    <row r="749" spans="1:15" ht="18.75" customHeight="1">
      <c r="A749" s="575" t="s">
        <v>68</v>
      </c>
      <c r="B749" s="576"/>
      <c r="C749" s="576"/>
      <c r="D749" s="576"/>
      <c r="E749" s="576"/>
      <c r="F749" s="576"/>
      <c r="G749" s="576"/>
      <c r="H749" s="576"/>
      <c r="I749" s="576"/>
      <c r="J749" s="576"/>
      <c r="K749" s="577"/>
      <c r="M749" s="134"/>
      <c r="N749" s="134"/>
      <c r="O749" s="133"/>
    </row>
    <row r="750" spans="1:15" ht="9" customHeight="1">
      <c r="A750" s="55"/>
      <c r="B750" s="86"/>
      <c r="C750" s="86"/>
      <c r="D750" s="86"/>
      <c r="E750" s="86"/>
      <c r="F750" s="86"/>
      <c r="G750" s="86"/>
      <c r="H750" s="86"/>
      <c r="I750" s="86"/>
      <c r="J750" s="85"/>
      <c r="K750" s="81"/>
      <c r="M750" s="134"/>
      <c r="N750" s="134"/>
      <c r="O750" s="133"/>
    </row>
    <row r="751" spans="1:15" ht="12.75" customHeight="1">
      <c r="A751" s="84"/>
      <c r="B751" s="83" t="s">
        <v>11</v>
      </c>
      <c r="C751" s="578" t="s">
        <v>361</v>
      </c>
      <c r="D751" s="579"/>
      <c r="E751" s="579"/>
      <c r="F751" s="579"/>
      <c r="G751" s="579"/>
      <c r="H751" s="579"/>
      <c r="I751" s="579"/>
      <c r="J751" s="580"/>
      <c r="K751" s="81"/>
      <c r="M751" s="134"/>
      <c r="N751" s="134"/>
      <c r="O751" s="133"/>
    </row>
    <row r="752" spans="1:15" ht="9" customHeight="1">
      <c r="A752" s="80"/>
      <c r="K752" s="81"/>
      <c r="M752" s="134"/>
      <c r="N752" s="134"/>
      <c r="O752" s="133"/>
    </row>
    <row r="753" spans="1:15" ht="12.75" customHeight="1">
      <c r="A753" s="80"/>
      <c r="B753" s="82" t="s">
        <v>67</v>
      </c>
      <c r="C753" s="581" t="s">
        <v>66</v>
      </c>
      <c r="D753" s="582"/>
      <c r="E753" s="582"/>
      <c r="F753" s="582"/>
      <c r="G753" s="582"/>
      <c r="H753" s="582"/>
      <c r="I753" s="582"/>
      <c r="J753" s="583"/>
      <c r="K753" s="81"/>
      <c r="M753" s="134"/>
      <c r="N753" s="134"/>
      <c r="O753" s="133"/>
    </row>
    <row r="754" spans="1:15" ht="6.75" customHeight="1">
      <c r="A754" s="279"/>
      <c r="B754" s="280"/>
      <c r="C754" s="281"/>
      <c r="D754" s="282"/>
      <c r="E754" s="282"/>
      <c r="F754" s="282"/>
      <c r="G754" s="282"/>
      <c r="H754" s="282"/>
      <c r="I754" s="282"/>
      <c r="J754" s="281"/>
      <c r="K754" s="283"/>
      <c r="M754" s="134"/>
      <c r="N754" s="134"/>
      <c r="O754" s="133"/>
    </row>
    <row r="755" spans="1:15" ht="12.75" customHeight="1">
      <c r="A755" s="584" t="s">
        <v>84</v>
      </c>
      <c r="B755" s="585" t="s">
        <v>83</v>
      </c>
      <c r="C755" s="585" t="s">
        <v>82</v>
      </c>
      <c r="D755" s="585" t="s">
        <v>81</v>
      </c>
      <c r="E755" s="564" t="s">
        <v>80</v>
      </c>
      <c r="F755" s="564"/>
      <c r="G755" s="564"/>
      <c r="H755" s="564" t="s">
        <v>79</v>
      </c>
      <c r="I755" s="564"/>
      <c r="J755" s="564"/>
      <c r="K755" s="565" t="s">
        <v>58</v>
      </c>
      <c r="M755" s="134"/>
      <c r="N755" s="134"/>
      <c r="O755" s="133"/>
    </row>
    <row r="756" spans="1:15" ht="12.75" customHeight="1">
      <c r="A756" s="584"/>
      <c r="B756" s="585"/>
      <c r="C756" s="585"/>
      <c r="D756" s="585"/>
      <c r="E756" s="125" t="s">
        <v>78</v>
      </c>
      <c r="F756" s="125" t="s">
        <v>77</v>
      </c>
      <c r="G756" s="125" t="s">
        <v>76</v>
      </c>
      <c r="H756" s="125" t="s">
        <v>75</v>
      </c>
      <c r="I756" s="125" t="s">
        <v>74</v>
      </c>
      <c r="J756" s="125" t="s">
        <v>73</v>
      </c>
      <c r="K756" s="565"/>
      <c r="M756" s="134"/>
      <c r="N756" s="134"/>
      <c r="O756" s="133"/>
    </row>
    <row r="757" spans="1:15" ht="12.75" customHeight="1">
      <c r="A757" s="584"/>
      <c r="B757" s="585"/>
      <c r="C757" s="585"/>
      <c r="D757" s="585"/>
      <c r="E757" s="125" t="s">
        <v>70</v>
      </c>
      <c r="F757" s="125" t="s">
        <v>70</v>
      </c>
      <c r="G757" s="125" t="s">
        <v>70</v>
      </c>
      <c r="H757" s="125" t="s">
        <v>72</v>
      </c>
      <c r="I757" s="125" t="s">
        <v>71</v>
      </c>
      <c r="J757" s="125" t="s">
        <v>70</v>
      </c>
      <c r="K757" s="565"/>
      <c r="M757" s="134"/>
      <c r="N757" s="134"/>
      <c r="O757" s="133"/>
    </row>
    <row r="758" spans="1:15" ht="12.75" customHeight="1">
      <c r="A758" s="66">
        <v>11</v>
      </c>
      <c r="B758" s="65" t="s">
        <v>122</v>
      </c>
      <c r="C758" s="64" t="s">
        <v>48</v>
      </c>
      <c r="D758" s="76"/>
      <c r="E758" s="75"/>
      <c r="F758" s="75"/>
      <c r="G758" s="75"/>
      <c r="H758" s="75"/>
      <c r="I758" s="75"/>
      <c r="J758" s="74"/>
      <c r="K758" s="63">
        <f>SUM(H760:H801)+SUM(H816:H856)</f>
        <v>134.62657452515757</v>
      </c>
      <c r="M758" s="134"/>
      <c r="N758" s="134"/>
      <c r="O758" s="133"/>
    </row>
    <row r="759" spans="1:15" ht="12.75" customHeight="1">
      <c r="A759" s="108"/>
      <c r="B759" s="105" t="s">
        <v>362</v>
      </c>
      <c r="C759" s="104"/>
      <c r="D759" s="73"/>
      <c r="E759" s="72"/>
      <c r="F759" s="72"/>
      <c r="G759" s="72"/>
      <c r="H759" s="72"/>
      <c r="I759" s="72"/>
      <c r="J759" s="124"/>
      <c r="K759" s="107"/>
      <c r="M759" s="134"/>
      <c r="N759" s="134"/>
      <c r="O759" s="133"/>
    </row>
    <row r="760" spans="1:15" ht="12.75" customHeight="1">
      <c r="A760" s="118"/>
      <c r="B760" s="94" t="s">
        <v>484</v>
      </c>
      <c r="C760" s="93"/>
      <c r="D760" s="69">
        <v>1</v>
      </c>
      <c r="E760" s="68">
        <v>0.7</v>
      </c>
      <c r="F760" s="68">
        <v>0.4</v>
      </c>
      <c r="G760" s="68">
        <f>3+5+3.6-0.95</f>
        <v>10.65</v>
      </c>
      <c r="H760" s="68">
        <f t="shared" ref="H760:H838" si="62">PRODUCT(D760:G760)</f>
        <v>2.9819999999999998</v>
      </c>
      <c r="I760" s="68"/>
      <c r="J760" s="114"/>
      <c r="K760" s="117"/>
      <c r="L760" s="318"/>
      <c r="M760" s="156"/>
      <c r="N760" s="134"/>
      <c r="O760" s="133"/>
    </row>
    <row r="761" spans="1:15" ht="12.75" customHeight="1">
      <c r="A761" s="118"/>
      <c r="B761" s="94" t="s">
        <v>485</v>
      </c>
      <c r="C761" s="93"/>
      <c r="D761" s="69">
        <v>1</v>
      </c>
      <c r="E761" s="68">
        <v>0.7</v>
      </c>
      <c r="F761" s="68">
        <v>0.4</v>
      </c>
      <c r="G761" s="68">
        <f>1.45+5+3.6-0.95</f>
        <v>9.1000000000000014</v>
      </c>
      <c r="H761" s="68">
        <f t="shared" si="62"/>
        <v>2.548</v>
      </c>
      <c r="I761" s="68"/>
      <c r="J761" s="114"/>
      <c r="K761" s="117"/>
      <c r="M761" s="156"/>
      <c r="N761" s="134"/>
      <c r="O761" s="133"/>
    </row>
    <row r="762" spans="1:15" ht="12.75" customHeight="1">
      <c r="A762" s="118"/>
      <c r="B762" s="94" t="s">
        <v>486</v>
      </c>
      <c r="C762" s="93"/>
      <c r="D762" s="69">
        <v>1</v>
      </c>
      <c r="E762" s="68">
        <v>0.7</v>
      </c>
      <c r="F762" s="68">
        <v>0.4</v>
      </c>
      <c r="G762" s="68">
        <f>1.45+5+3.6-0.95</f>
        <v>9.1000000000000014</v>
      </c>
      <c r="H762" s="68">
        <f t="shared" si="62"/>
        <v>2.548</v>
      </c>
      <c r="I762" s="68"/>
      <c r="J762" s="114"/>
      <c r="K762" s="117"/>
      <c r="M762" s="156"/>
      <c r="N762" s="134"/>
      <c r="O762" s="133"/>
    </row>
    <row r="763" spans="1:15" ht="12.75" customHeight="1">
      <c r="A763" s="118"/>
      <c r="B763" s="94" t="s">
        <v>487</v>
      </c>
      <c r="C763" s="93"/>
      <c r="D763" s="69">
        <v>1</v>
      </c>
      <c r="E763" s="68">
        <v>0.7</v>
      </c>
      <c r="F763" s="68">
        <v>0.4</v>
      </c>
      <c r="G763" s="68">
        <f>1.3+5+3.6-0.95</f>
        <v>8.9500000000000011</v>
      </c>
      <c r="H763" s="68">
        <f t="shared" si="62"/>
        <v>2.5060000000000002</v>
      </c>
      <c r="I763" s="68"/>
      <c r="J763" s="114"/>
      <c r="K763" s="117"/>
      <c r="M763" s="156"/>
      <c r="N763" s="134"/>
      <c r="O763" s="133"/>
    </row>
    <row r="764" spans="1:15" ht="12.75" customHeight="1">
      <c r="A764" s="118"/>
      <c r="B764" s="94" t="s">
        <v>364</v>
      </c>
      <c r="C764" s="93"/>
      <c r="D764" s="69">
        <v>1</v>
      </c>
      <c r="E764" s="68">
        <v>0.7</v>
      </c>
      <c r="F764" s="68">
        <v>0.4</v>
      </c>
      <c r="G764" s="68">
        <f>3.4+5+3.6-0.95</f>
        <v>11.05</v>
      </c>
      <c r="H764" s="68">
        <f t="shared" si="62"/>
        <v>3.0939999999999999</v>
      </c>
      <c r="I764" s="68"/>
      <c r="J764" s="114"/>
      <c r="K764" s="117"/>
      <c r="M764" s="134"/>
      <c r="N764" s="134"/>
      <c r="O764" s="133"/>
    </row>
    <row r="765" spans="1:15" ht="12.75" customHeight="1">
      <c r="A765" s="118"/>
      <c r="B765" s="94" t="s">
        <v>365</v>
      </c>
      <c r="C765" s="93"/>
      <c r="D765" s="69">
        <v>1</v>
      </c>
      <c r="E765" s="68">
        <v>0.7</v>
      </c>
      <c r="F765" s="68">
        <v>0.4</v>
      </c>
      <c r="G765" s="68">
        <f>1.77+5+3.6-0.95</f>
        <v>9.42</v>
      </c>
      <c r="H765" s="68">
        <f t="shared" si="62"/>
        <v>2.6375999999999995</v>
      </c>
      <c r="I765" s="68"/>
      <c r="J765" s="114"/>
      <c r="K765" s="117"/>
      <c r="M765" s="134"/>
      <c r="N765" s="134"/>
      <c r="O765" s="133"/>
    </row>
    <row r="766" spans="1:15" ht="12.75" customHeight="1">
      <c r="A766" s="118"/>
      <c r="B766" s="94" t="s">
        <v>366</v>
      </c>
      <c r="C766" s="93"/>
      <c r="D766" s="69">
        <v>1</v>
      </c>
      <c r="E766" s="68">
        <v>0.7</v>
      </c>
      <c r="F766" s="68">
        <v>0.4</v>
      </c>
      <c r="G766" s="68">
        <f>1.3+5+3.6-0.95</f>
        <v>8.9500000000000011</v>
      </c>
      <c r="H766" s="68">
        <f t="shared" si="62"/>
        <v>2.5060000000000002</v>
      </c>
      <c r="I766" s="68"/>
      <c r="J766" s="114"/>
      <c r="K766" s="117"/>
      <c r="M766" s="134"/>
      <c r="N766" s="134"/>
      <c r="O766" s="133"/>
    </row>
    <row r="767" spans="1:15" ht="12.75" customHeight="1">
      <c r="A767" s="118"/>
      <c r="B767" s="94" t="s">
        <v>488</v>
      </c>
      <c r="C767" s="93"/>
      <c r="D767" s="69">
        <v>1</v>
      </c>
      <c r="E767" s="68">
        <v>0.4</v>
      </c>
      <c r="F767" s="68">
        <v>0.6</v>
      </c>
      <c r="G767" s="68">
        <f>1.45+5+3.6-0.7</f>
        <v>9.3500000000000014</v>
      </c>
      <c r="H767" s="68">
        <f t="shared" si="62"/>
        <v>2.2440000000000002</v>
      </c>
      <c r="I767" s="68"/>
      <c r="J767" s="114"/>
      <c r="K767" s="117"/>
      <c r="M767" s="156"/>
      <c r="N767" s="134"/>
      <c r="O767" s="133"/>
    </row>
    <row r="768" spans="1:15" ht="12.75" customHeight="1">
      <c r="A768" s="118"/>
      <c r="B768" s="94" t="s">
        <v>489</v>
      </c>
      <c r="C768" s="93"/>
      <c r="D768" s="69">
        <v>1</v>
      </c>
      <c r="E768" s="68">
        <v>0.4</v>
      </c>
      <c r="F768" s="68">
        <v>0.6</v>
      </c>
      <c r="G768" s="68">
        <f>0.5+5+3.6-0.7</f>
        <v>8.4</v>
      </c>
      <c r="H768" s="68">
        <f t="shared" si="62"/>
        <v>2.016</v>
      </c>
      <c r="I768" s="68"/>
      <c r="J768" s="114"/>
      <c r="K768" s="117"/>
      <c r="M768" s="156"/>
      <c r="N768" s="134"/>
      <c r="O768" s="133"/>
    </row>
    <row r="769" spans="1:15" ht="12.75" customHeight="1">
      <c r="A769" s="118"/>
      <c r="B769" s="94" t="s">
        <v>490</v>
      </c>
      <c r="C769" s="93"/>
      <c r="D769" s="69">
        <v>1</v>
      </c>
      <c r="E769" s="68">
        <v>0.4</v>
      </c>
      <c r="F769" s="68">
        <v>0.6</v>
      </c>
      <c r="G769" s="68">
        <f>1.3+5+3.6-0.7</f>
        <v>9.2000000000000011</v>
      </c>
      <c r="H769" s="68">
        <f t="shared" si="62"/>
        <v>2.2080000000000002</v>
      </c>
      <c r="I769" s="68"/>
      <c r="J769" s="114"/>
      <c r="K769" s="117"/>
      <c r="M769" s="156"/>
      <c r="N769" s="134"/>
      <c r="O769" s="133"/>
    </row>
    <row r="770" spans="1:15" ht="12.75" customHeight="1">
      <c r="A770" s="118"/>
      <c r="B770" s="94" t="s">
        <v>491</v>
      </c>
      <c r="C770" s="93"/>
      <c r="D770" s="69">
        <v>1</v>
      </c>
      <c r="E770" s="68">
        <v>0.4</v>
      </c>
      <c r="F770" s="68">
        <v>0.6</v>
      </c>
      <c r="G770" s="68">
        <f>1.77+5+3.6-0.7</f>
        <v>9.67</v>
      </c>
      <c r="H770" s="68">
        <f t="shared" si="62"/>
        <v>2.3207999999999998</v>
      </c>
      <c r="I770" s="68"/>
      <c r="J770" s="114"/>
      <c r="K770" s="117"/>
      <c r="M770" s="156"/>
      <c r="N770" s="134"/>
      <c r="O770" s="133"/>
    </row>
    <row r="771" spans="1:15" ht="12.75" customHeight="1">
      <c r="A771" s="118"/>
      <c r="B771" s="94" t="s">
        <v>367</v>
      </c>
      <c r="C771" s="93"/>
      <c r="D771" s="69">
        <v>1</v>
      </c>
      <c r="E771" s="68">
        <v>0.3</v>
      </c>
      <c r="F771" s="68">
        <v>0.3</v>
      </c>
      <c r="G771" s="68">
        <f>3+5+3.6-0.5</f>
        <v>11.1</v>
      </c>
      <c r="H771" s="68">
        <f t="shared" si="62"/>
        <v>0.99899999999999989</v>
      </c>
      <c r="I771" s="68"/>
      <c r="J771" s="114"/>
      <c r="K771" s="117"/>
      <c r="M771" s="134"/>
      <c r="N771" s="134"/>
      <c r="O771" s="133"/>
    </row>
    <row r="772" spans="1:15" ht="12.75" customHeight="1">
      <c r="A772" s="118"/>
      <c r="B772" s="94" t="s">
        <v>727</v>
      </c>
      <c r="C772" s="93"/>
      <c r="D772" s="69">
        <v>1</v>
      </c>
      <c r="E772" s="68">
        <v>0.5</v>
      </c>
      <c r="F772" s="68">
        <v>0.3</v>
      </c>
      <c r="G772" s="68">
        <f>1.3+5+3.6-0.5</f>
        <v>9.4</v>
      </c>
      <c r="H772" s="68">
        <f t="shared" si="62"/>
        <v>1.41</v>
      </c>
      <c r="I772" s="68"/>
      <c r="J772" s="114"/>
      <c r="K772" s="117"/>
      <c r="M772" s="134"/>
      <c r="N772" s="134"/>
      <c r="O772" s="133"/>
    </row>
    <row r="773" spans="1:15" ht="12.75" customHeight="1">
      <c r="A773" s="118"/>
      <c r="B773" s="94" t="s">
        <v>370</v>
      </c>
      <c r="C773" s="93"/>
      <c r="D773" s="69">
        <v>1</v>
      </c>
      <c r="E773" s="68">
        <v>0.5</v>
      </c>
      <c r="F773" s="68">
        <v>0.3</v>
      </c>
      <c r="G773" s="68">
        <f>1.3+5+3.6-0.5</f>
        <v>9.4</v>
      </c>
      <c r="H773" s="68">
        <f t="shared" si="62"/>
        <v>1.41</v>
      </c>
      <c r="I773" s="68"/>
      <c r="J773" s="114"/>
      <c r="K773" s="117"/>
      <c r="M773" s="134"/>
      <c r="N773" s="134"/>
      <c r="O773" s="133"/>
    </row>
    <row r="774" spans="1:15" ht="12.75" customHeight="1">
      <c r="A774" s="118"/>
      <c r="B774" s="94" t="s">
        <v>371</v>
      </c>
      <c r="C774" s="93"/>
      <c r="D774" s="69">
        <v>1</v>
      </c>
      <c r="E774" s="68">
        <v>0.4</v>
      </c>
      <c r="F774" s="68">
        <v>0.4</v>
      </c>
      <c r="G774" s="68">
        <f>1.4+5+3.6-0.6</f>
        <v>9.4</v>
      </c>
      <c r="H774" s="68">
        <f t="shared" si="62"/>
        <v>1.5040000000000004</v>
      </c>
      <c r="I774" s="68"/>
      <c r="J774" s="114"/>
      <c r="K774" s="117"/>
      <c r="M774" s="134"/>
      <c r="N774" s="134"/>
      <c r="O774" s="133"/>
    </row>
    <row r="775" spans="1:15" ht="12.75" customHeight="1">
      <c r="A775" s="118"/>
      <c r="B775" s="94" t="s">
        <v>372</v>
      </c>
      <c r="C775" s="93"/>
      <c r="D775" s="69">
        <v>1</v>
      </c>
      <c r="E775" s="68">
        <v>0.3</v>
      </c>
      <c r="F775" s="68">
        <v>0.3</v>
      </c>
      <c r="G775" s="68">
        <f>1.3+5+3.6-0.6</f>
        <v>9.3000000000000007</v>
      </c>
      <c r="H775" s="68">
        <f t="shared" si="62"/>
        <v>0.83700000000000008</v>
      </c>
      <c r="I775" s="68"/>
      <c r="J775" s="114"/>
      <c r="K775" s="117"/>
      <c r="M775" s="134"/>
      <c r="N775" s="134"/>
      <c r="O775" s="133"/>
    </row>
    <row r="776" spans="1:15" ht="12.75" customHeight="1">
      <c r="A776" s="118"/>
      <c r="B776" s="94" t="s">
        <v>373</v>
      </c>
      <c r="C776" s="93"/>
      <c r="D776" s="69">
        <v>1</v>
      </c>
      <c r="E776" s="68">
        <v>0.3</v>
      </c>
      <c r="F776" s="68">
        <v>0.3</v>
      </c>
      <c r="G776" s="68">
        <f>1.3+5+3.6-0.5</f>
        <v>9.4</v>
      </c>
      <c r="H776" s="68">
        <f t="shared" si="62"/>
        <v>0.84599999999999997</v>
      </c>
      <c r="I776" s="68"/>
      <c r="J776" s="114"/>
      <c r="K776" s="117"/>
      <c r="M776" s="134"/>
      <c r="N776" s="134"/>
      <c r="O776" s="133"/>
    </row>
    <row r="777" spans="1:15" ht="12.75" customHeight="1">
      <c r="A777" s="118"/>
      <c r="B777" s="94" t="s">
        <v>374</v>
      </c>
      <c r="C777" s="93"/>
      <c r="D777" s="69">
        <v>1</v>
      </c>
      <c r="E777" s="68">
        <v>0.7</v>
      </c>
      <c r="F777" s="68">
        <v>0.4</v>
      </c>
      <c r="G777" s="68">
        <f>3+5+3.6-0.95</f>
        <v>10.65</v>
      </c>
      <c r="H777" s="68">
        <f t="shared" si="62"/>
        <v>2.9819999999999998</v>
      </c>
      <c r="I777" s="68"/>
      <c r="J777" s="114"/>
      <c r="K777" s="117"/>
      <c r="M777" s="134"/>
      <c r="N777" s="134"/>
      <c r="O777" s="133"/>
    </row>
    <row r="778" spans="1:15" ht="12.75" customHeight="1">
      <c r="A778" s="118"/>
      <c r="B778" s="94" t="s">
        <v>375</v>
      </c>
      <c r="C778" s="93"/>
      <c r="D778" s="69">
        <v>1</v>
      </c>
      <c r="E778" s="68">
        <v>0.7</v>
      </c>
      <c r="F778" s="68">
        <v>0.4</v>
      </c>
      <c r="G778" s="68">
        <f>1.3+5+3.6-0.95</f>
        <v>8.9500000000000011</v>
      </c>
      <c r="H778" s="68">
        <f t="shared" si="62"/>
        <v>2.5060000000000002</v>
      </c>
      <c r="I778" s="68"/>
      <c r="J778" s="114"/>
      <c r="K778" s="117"/>
      <c r="M778" s="134"/>
      <c r="N778" s="134"/>
      <c r="O778" s="133"/>
    </row>
    <row r="779" spans="1:15" ht="12.75" customHeight="1">
      <c r="A779" s="118"/>
      <c r="B779" s="94" t="s">
        <v>376</v>
      </c>
      <c r="C779" s="93"/>
      <c r="D779" s="69">
        <v>1</v>
      </c>
      <c r="E779" s="68">
        <v>0.4</v>
      </c>
      <c r="F779" s="68">
        <v>0.6</v>
      </c>
      <c r="G779" s="68">
        <f>1.3+5+3.6-0.95</f>
        <v>8.9500000000000011</v>
      </c>
      <c r="H779" s="68">
        <f t="shared" si="62"/>
        <v>2.1480000000000001</v>
      </c>
      <c r="I779" s="68"/>
      <c r="J779" s="114"/>
      <c r="K779" s="117"/>
      <c r="M779" s="134"/>
      <c r="N779" s="134"/>
      <c r="O779" s="133"/>
    </row>
    <row r="780" spans="1:15" ht="12.75" customHeight="1">
      <c r="A780" s="116"/>
      <c r="B780" s="161" t="s">
        <v>377</v>
      </c>
      <c r="C780" s="162"/>
      <c r="D780" s="163">
        <v>1</v>
      </c>
      <c r="E780" s="67">
        <v>0.4</v>
      </c>
      <c r="F780" s="67">
        <v>0.6</v>
      </c>
      <c r="G780" s="67">
        <f>1.2+5+3.6-0.5</f>
        <v>9.3000000000000007</v>
      </c>
      <c r="H780" s="67">
        <f t="shared" si="62"/>
        <v>2.2320000000000002</v>
      </c>
      <c r="I780" s="67"/>
      <c r="J780" s="128"/>
      <c r="K780" s="164"/>
      <c r="M780" s="134"/>
      <c r="N780" s="134"/>
      <c r="O780" s="133"/>
    </row>
    <row r="781" spans="1:15" ht="12.75" customHeight="1">
      <c r="A781" s="118"/>
      <c r="B781" s="94" t="s">
        <v>378</v>
      </c>
      <c r="C781" s="93"/>
      <c r="D781" s="69">
        <v>1</v>
      </c>
      <c r="E781" s="68">
        <v>0.4</v>
      </c>
      <c r="F781" s="68">
        <v>0.6</v>
      </c>
      <c r="G781" s="68">
        <f>0.9+5+3.6-0.5</f>
        <v>9</v>
      </c>
      <c r="H781" s="68">
        <f t="shared" si="62"/>
        <v>2.16</v>
      </c>
      <c r="I781" s="68"/>
      <c r="J781" s="114"/>
      <c r="K781" s="117"/>
      <c r="M781" s="134"/>
      <c r="N781" s="134"/>
      <c r="O781" s="133"/>
    </row>
    <row r="782" spans="1:15" ht="12.75" customHeight="1">
      <c r="A782" s="118"/>
      <c r="B782" s="94" t="s">
        <v>379</v>
      </c>
      <c r="C782" s="93"/>
      <c r="D782" s="69">
        <v>1</v>
      </c>
      <c r="E782" s="68">
        <v>0.4</v>
      </c>
      <c r="F782" s="68">
        <v>0.6</v>
      </c>
      <c r="G782" s="68">
        <f>1+5+3.6-0.5</f>
        <v>9.1</v>
      </c>
      <c r="H782" s="68">
        <f t="shared" si="62"/>
        <v>2.1839999999999997</v>
      </c>
      <c r="I782" s="68"/>
      <c r="J782" s="114"/>
      <c r="K782" s="117"/>
      <c r="M782" s="134"/>
      <c r="N782" s="134"/>
      <c r="O782" s="133"/>
    </row>
    <row r="783" spans="1:15" ht="12.75" customHeight="1">
      <c r="A783" s="118"/>
      <c r="B783" s="94" t="s">
        <v>380</v>
      </c>
      <c r="C783" s="93"/>
      <c r="D783" s="69">
        <v>1</v>
      </c>
      <c r="E783" s="68">
        <v>0.7</v>
      </c>
      <c r="F783" s="68">
        <v>0.4</v>
      </c>
      <c r="G783" s="68">
        <f>3+5+3.6-0.95</f>
        <v>10.65</v>
      </c>
      <c r="H783" s="68">
        <f t="shared" si="62"/>
        <v>2.9819999999999998</v>
      </c>
      <c r="I783" s="68"/>
      <c r="J783" s="114"/>
      <c r="K783" s="117"/>
      <c r="M783" s="134"/>
      <c r="N783" s="134"/>
      <c r="O783" s="133"/>
    </row>
    <row r="784" spans="1:15" ht="12.75" customHeight="1">
      <c r="A784" s="118"/>
      <c r="B784" s="94" t="s">
        <v>381</v>
      </c>
      <c r="C784" s="93"/>
      <c r="D784" s="69">
        <v>1</v>
      </c>
      <c r="E784" s="68">
        <v>0.7</v>
      </c>
      <c r="F784" s="68">
        <v>0.4</v>
      </c>
      <c r="G784" s="68">
        <f>0.5+5+3.6-0.95</f>
        <v>8.15</v>
      </c>
      <c r="H784" s="68">
        <f t="shared" si="62"/>
        <v>2.282</v>
      </c>
      <c r="I784" s="68"/>
      <c r="J784" s="114"/>
      <c r="K784" s="117"/>
      <c r="M784" s="134"/>
      <c r="N784" s="134"/>
      <c r="O784" s="133"/>
    </row>
    <row r="785" spans="1:15" ht="12.75" customHeight="1">
      <c r="A785" s="118"/>
      <c r="B785" s="94" t="s">
        <v>382</v>
      </c>
      <c r="C785" s="93"/>
      <c r="D785" s="69">
        <v>1</v>
      </c>
      <c r="E785" s="68">
        <v>0.35</v>
      </c>
      <c r="F785" s="68">
        <v>0.35</v>
      </c>
      <c r="G785" s="68">
        <f>0.5+5+3.6-0.5</f>
        <v>8.6</v>
      </c>
      <c r="H785" s="68">
        <f t="shared" si="62"/>
        <v>1.0534999999999999</v>
      </c>
      <c r="I785" s="68"/>
      <c r="J785" s="114"/>
      <c r="K785" s="117"/>
      <c r="M785" s="134"/>
      <c r="N785" s="134"/>
      <c r="O785" s="133"/>
    </row>
    <row r="786" spans="1:15" ht="12.75" customHeight="1">
      <c r="A786" s="118"/>
      <c r="B786" s="94" t="s">
        <v>383</v>
      </c>
      <c r="C786" s="93"/>
      <c r="D786" s="69">
        <v>1</v>
      </c>
      <c r="E786" s="68">
        <v>0.7</v>
      </c>
      <c r="F786" s="68">
        <v>0.4</v>
      </c>
      <c r="G786" s="68">
        <f>3+5+3.6-0.95</f>
        <v>10.65</v>
      </c>
      <c r="H786" s="68">
        <f t="shared" si="62"/>
        <v>2.9819999999999998</v>
      </c>
      <c r="I786" s="68"/>
      <c r="J786" s="114"/>
      <c r="K786" s="117"/>
      <c r="M786" s="134"/>
      <c r="N786" s="134"/>
      <c r="O786" s="133"/>
    </row>
    <row r="787" spans="1:15" ht="12.75" customHeight="1">
      <c r="A787" s="118"/>
      <c r="B787" s="94" t="s">
        <v>384</v>
      </c>
      <c r="C787" s="93"/>
      <c r="D787" s="69">
        <v>1</v>
      </c>
      <c r="E787" s="68">
        <v>0.7</v>
      </c>
      <c r="F787" s="68">
        <v>0.4</v>
      </c>
      <c r="G787" s="68">
        <f>0.5+5+3.6-0.95</f>
        <v>8.15</v>
      </c>
      <c r="H787" s="68">
        <f t="shared" si="62"/>
        <v>2.282</v>
      </c>
      <c r="I787" s="68"/>
      <c r="J787" s="114"/>
      <c r="K787" s="117"/>
      <c r="M787" s="134"/>
      <c r="N787" s="134"/>
      <c r="O787" s="133"/>
    </row>
    <row r="788" spans="1:15" ht="12.75" customHeight="1">
      <c r="A788" s="118"/>
      <c r="B788" s="94" t="s">
        <v>385</v>
      </c>
      <c r="C788" s="93"/>
      <c r="D788" s="69">
        <v>1</v>
      </c>
      <c r="E788" s="68">
        <v>0.3</v>
      </c>
      <c r="F788" s="68">
        <v>0.3</v>
      </c>
      <c r="G788" s="68">
        <f>2.5+5+3.6-0.5</f>
        <v>10.6</v>
      </c>
      <c r="H788" s="68">
        <f t="shared" si="62"/>
        <v>0.95399999999999996</v>
      </c>
      <c r="I788" s="68"/>
      <c r="J788" s="114"/>
      <c r="K788" s="117"/>
      <c r="M788" s="134"/>
      <c r="N788" s="134"/>
      <c r="O788" s="133"/>
    </row>
    <row r="789" spans="1:15" ht="12.75" customHeight="1">
      <c r="A789" s="118"/>
      <c r="B789" s="94" t="s">
        <v>492</v>
      </c>
      <c r="C789" s="93"/>
      <c r="D789" s="69">
        <v>1</v>
      </c>
      <c r="E789" s="68">
        <v>0.35</v>
      </c>
      <c r="F789" s="68">
        <v>0.35</v>
      </c>
      <c r="G789" s="68">
        <f>2.5+5+3.6-0.5</f>
        <v>10.6</v>
      </c>
      <c r="H789" s="68">
        <f t="shared" si="62"/>
        <v>1.2984999999999998</v>
      </c>
      <c r="I789" s="68"/>
      <c r="J789" s="114"/>
      <c r="K789" s="117"/>
      <c r="M789" s="134"/>
      <c r="N789" s="134"/>
      <c r="O789" s="133"/>
    </row>
    <row r="790" spans="1:15" ht="12.75" customHeight="1">
      <c r="A790" s="118"/>
      <c r="B790" s="94" t="s">
        <v>493</v>
      </c>
      <c r="C790" s="93"/>
      <c r="D790" s="69">
        <v>1</v>
      </c>
      <c r="E790" s="68">
        <v>0.3</v>
      </c>
      <c r="F790" s="68">
        <v>0.3</v>
      </c>
      <c r="G790" s="68">
        <f>0.6+5+3.6-0.5</f>
        <v>8.6999999999999993</v>
      </c>
      <c r="H790" s="68">
        <f t="shared" si="62"/>
        <v>0.78299999999999992</v>
      </c>
      <c r="I790" s="68"/>
      <c r="J790" s="114"/>
      <c r="K790" s="117"/>
      <c r="M790" s="134"/>
      <c r="N790" s="134"/>
      <c r="O790" s="133"/>
    </row>
    <row r="791" spans="1:15" ht="12.75" customHeight="1">
      <c r="A791" s="118"/>
      <c r="B791" s="94" t="s">
        <v>494</v>
      </c>
      <c r="C791" s="93"/>
      <c r="D791" s="69">
        <v>1</v>
      </c>
      <c r="E791" s="68">
        <v>0.5</v>
      </c>
      <c r="F791" s="68"/>
      <c r="G791" s="68">
        <f>1+5+3.6-0.7</f>
        <v>8.9</v>
      </c>
      <c r="H791" s="68">
        <f>((PI()/4)*(E791*E791))*G791</f>
        <v>1.7475109135593225</v>
      </c>
      <c r="I791" s="68"/>
      <c r="J791" s="114"/>
      <c r="K791" s="117"/>
      <c r="M791" s="134"/>
      <c r="N791" s="134"/>
      <c r="O791" s="133"/>
    </row>
    <row r="792" spans="1:15" ht="12.75" customHeight="1">
      <c r="A792" s="118"/>
      <c r="B792" s="94" t="s">
        <v>495</v>
      </c>
      <c r="C792" s="93"/>
      <c r="D792" s="69">
        <v>1</v>
      </c>
      <c r="E792" s="68">
        <v>0.3</v>
      </c>
      <c r="F792" s="68">
        <v>0.3</v>
      </c>
      <c r="G792" s="68">
        <f>2.5+5+3.6-0.5</f>
        <v>10.6</v>
      </c>
      <c r="H792" s="68">
        <f t="shared" si="62"/>
        <v>0.95399999999999996</v>
      </c>
      <c r="I792" s="68"/>
      <c r="J792" s="114"/>
      <c r="K792" s="117"/>
      <c r="M792" s="134"/>
      <c r="N792" s="134"/>
      <c r="O792" s="133"/>
    </row>
    <row r="793" spans="1:15" ht="12.75" customHeight="1">
      <c r="A793" s="116"/>
      <c r="B793" s="161" t="s">
        <v>496</v>
      </c>
      <c r="C793" s="162"/>
      <c r="D793" s="163">
        <v>1</v>
      </c>
      <c r="E793" s="67">
        <v>0.5</v>
      </c>
      <c r="F793" s="67"/>
      <c r="G793" s="67">
        <f>1.4+5+3.6-0.7</f>
        <v>9.3000000000000007</v>
      </c>
      <c r="H793" s="67">
        <f>((PI()/4)*(E793*E793))*G793</f>
        <v>1.8260507298990674</v>
      </c>
      <c r="I793" s="67"/>
      <c r="J793" s="128"/>
      <c r="K793" s="164"/>
      <c r="M793" s="134"/>
      <c r="N793" s="134"/>
      <c r="O793" s="133"/>
    </row>
    <row r="794" spans="1:15" ht="12.75" customHeight="1">
      <c r="A794" s="103"/>
      <c r="B794" s="151" t="s">
        <v>386</v>
      </c>
      <c r="C794" s="122"/>
      <c r="D794" s="62"/>
      <c r="E794" s="61"/>
      <c r="F794" s="61"/>
      <c r="G794" s="61"/>
      <c r="H794" s="61"/>
      <c r="I794" s="61"/>
      <c r="J794" s="121"/>
      <c r="K794" s="120"/>
      <c r="M794" s="134"/>
      <c r="N794" s="134"/>
      <c r="O794" s="133"/>
    </row>
    <row r="795" spans="1:15" ht="12.75" customHeight="1">
      <c r="A795" s="129"/>
      <c r="B795" s="160" t="s">
        <v>387</v>
      </c>
      <c r="C795" s="139"/>
      <c r="D795" s="110">
        <v>1</v>
      </c>
      <c r="E795" s="109">
        <v>0.3</v>
      </c>
      <c r="F795" s="109">
        <v>0.3</v>
      </c>
      <c r="G795" s="109">
        <f>3+5+3.6-0.5</f>
        <v>11.1</v>
      </c>
      <c r="H795" s="109">
        <f t="shared" si="62"/>
        <v>0.99899999999999989</v>
      </c>
      <c r="I795" s="109"/>
      <c r="J795" s="135"/>
      <c r="K795" s="130"/>
      <c r="M795" s="134"/>
      <c r="N795" s="134"/>
      <c r="O795" s="133"/>
    </row>
    <row r="796" spans="1:15" ht="12.75" customHeight="1">
      <c r="A796" s="118"/>
      <c r="B796" s="94" t="s">
        <v>388</v>
      </c>
      <c r="C796" s="93"/>
      <c r="D796" s="69">
        <v>1</v>
      </c>
      <c r="E796" s="68">
        <v>0.3</v>
      </c>
      <c r="F796" s="68">
        <v>0.3</v>
      </c>
      <c r="G796" s="68">
        <f>3+5+3.6-0.5</f>
        <v>11.1</v>
      </c>
      <c r="H796" s="68">
        <f t="shared" si="62"/>
        <v>0.99899999999999989</v>
      </c>
      <c r="I796" s="68"/>
      <c r="J796" s="114"/>
      <c r="K796" s="117"/>
      <c r="M796" s="134"/>
      <c r="N796" s="134"/>
      <c r="O796" s="133"/>
    </row>
    <row r="797" spans="1:15" ht="12.75" customHeight="1">
      <c r="A797" s="118"/>
      <c r="B797" s="94" t="s">
        <v>389</v>
      </c>
      <c r="C797" s="93"/>
      <c r="D797" s="69">
        <v>1</v>
      </c>
      <c r="E797" s="68">
        <v>0.3</v>
      </c>
      <c r="F797" s="68">
        <v>0.3</v>
      </c>
      <c r="G797" s="68">
        <f>1.45+5+3.6-0.5</f>
        <v>9.5500000000000007</v>
      </c>
      <c r="H797" s="68">
        <f t="shared" si="62"/>
        <v>0.85950000000000004</v>
      </c>
      <c r="I797" s="68"/>
      <c r="J797" s="114"/>
      <c r="K797" s="117"/>
      <c r="M797" s="134"/>
      <c r="N797" s="134"/>
      <c r="O797" s="133"/>
    </row>
    <row r="798" spans="1:15" ht="12.75" customHeight="1">
      <c r="A798" s="118"/>
      <c r="B798" s="94" t="s">
        <v>390</v>
      </c>
      <c r="C798" s="93"/>
      <c r="D798" s="69">
        <v>1</v>
      </c>
      <c r="E798" s="68">
        <v>0.3</v>
      </c>
      <c r="F798" s="68">
        <v>0.3</v>
      </c>
      <c r="G798" s="68">
        <f>1.3+5+3.6-0.5</f>
        <v>9.4</v>
      </c>
      <c r="H798" s="68">
        <f t="shared" si="62"/>
        <v>0.84599999999999997</v>
      </c>
      <c r="I798" s="68"/>
      <c r="J798" s="114"/>
      <c r="K798" s="117"/>
      <c r="M798" s="134"/>
      <c r="N798" s="134"/>
      <c r="O798" s="133"/>
    </row>
    <row r="799" spans="1:15" ht="12.75" customHeight="1">
      <c r="A799" s="118"/>
      <c r="B799" s="94" t="s">
        <v>391</v>
      </c>
      <c r="C799" s="93"/>
      <c r="D799" s="69">
        <v>1</v>
      </c>
      <c r="E799" s="68">
        <v>0.3</v>
      </c>
      <c r="F799" s="68">
        <v>0.3</v>
      </c>
      <c r="G799" s="68">
        <f>1.45+5+3.6-0.5</f>
        <v>9.5500000000000007</v>
      </c>
      <c r="H799" s="68">
        <f t="shared" si="62"/>
        <v>0.85950000000000004</v>
      </c>
      <c r="I799" s="68"/>
      <c r="J799" s="114"/>
      <c r="K799" s="117"/>
      <c r="M799" s="134"/>
      <c r="N799" s="134"/>
      <c r="O799" s="133"/>
    </row>
    <row r="800" spans="1:15" ht="12.75" customHeight="1">
      <c r="A800" s="118"/>
      <c r="B800" s="94" t="s">
        <v>363</v>
      </c>
      <c r="C800" s="93"/>
      <c r="D800" s="69">
        <v>1</v>
      </c>
      <c r="E800" s="68">
        <v>0.3</v>
      </c>
      <c r="F800" s="68">
        <v>0.3</v>
      </c>
      <c r="G800" s="68">
        <f>1.5+5+3.6-0.5</f>
        <v>9.6</v>
      </c>
      <c r="H800" s="68">
        <f t="shared" si="62"/>
        <v>0.86399999999999999</v>
      </c>
      <c r="I800" s="68"/>
      <c r="J800" s="114"/>
      <c r="K800" s="117"/>
      <c r="M800" s="134"/>
      <c r="N800" s="134"/>
      <c r="O800" s="133"/>
    </row>
    <row r="801" spans="1:15" ht="12.75" customHeight="1" thickBot="1">
      <c r="A801" s="143"/>
      <c r="B801" s="147" t="s">
        <v>392</v>
      </c>
      <c r="C801" s="144"/>
      <c r="D801" s="95">
        <v>1</v>
      </c>
      <c r="E801" s="92">
        <v>0.3</v>
      </c>
      <c r="F801" s="92">
        <v>0.5</v>
      </c>
      <c r="G801" s="92">
        <f>1.45+5+3.6-0.7</f>
        <v>9.3500000000000014</v>
      </c>
      <c r="H801" s="92">
        <f t="shared" si="62"/>
        <v>1.4025000000000001</v>
      </c>
      <c r="I801" s="92"/>
      <c r="J801" s="145"/>
      <c r="K801" s="146"/>
      <c r="M801" s="134"/>
      <c r="N801" s="134"/>
      <c r="O801" s="133"/>
    </row>
    <row r="802" spans="1:15" ht="12.75" customHeight="1" thickTop="1">
      <c r="A802" s="91"/>
      <c r="B802" s="90"/>
      <c r="C802" s="90"/>
      <c r="D802" s="90"/>
      <c r="E802" s="90"/>
      <c r="F802" s="90"/>
      <c r="G802" s="90"/>
      <c r="H802" s="90"/>
      <c r="I802" s="90"/>
      <c r="J802" s="90"/>
      <c r="K802" s="89"/>
      <c r="M802" s="134"/>
      <c r="N802" s="134"/>
      <c r="O802" s="133"/>
    </row>
    <row r="803" spans="1:15" ht="17.25" customHeight="1">
      <c r="A803" s="569" t="s">
        <v>29</v>
      </c>
      <c r="B803" s="570"/>
      <c r="C803" s="570"/>
      <c r="D803" s="570"/>
      <c r="E803" s="570"/>
      <c r="F803" s="570"/>
      <c r="G803" s="570"/>
      <c r="H803" s="570"/>
      <c r="I803" s="570"/>
      <c r="J803" s="570"/>
      <c r="K803" s="571"/>
      <c r="M803" s="134"/>
      <c r="N803" s="134"/>
      <c r="O803" s="133"/>
    </row>
    <row r="804" spans="1:15" ht="15.75" customHeight="1">
      <c r="A804" s="572" t="s">
        <v>69</v>
      </c>
      <c r="B804" s="573"/>
      <c r="C804" s="573"/>
      <c r="D804" s="573"/>
      <c r="E804" s="573"/>
      <c r="F804" s="573"/>
      <c r="G804" s="573"/>
      <c r="H804" s="573"/>
      <c r="I804" s="573"/>
      <c r="J804" s="573"/>
      <c r="K804" s="574"/>
      <c r="M804" s="134"/>
      <c r="N804" s="134"/>
      <c r="O804" s="133"/>
    </row>
    <row r="805" spans="1:15" ht="15" customHeight="1">
      <c r="A805" s="88"/>
      <c r="B805" s="85"/>
      <c r="C805" s="85"/>
      <c r="D805" s="85"/>
      <c r="E805" s="85"/>
      <c r="F805" s="85"/>
      <c r="G805" s="85"/>
      <c r="H805" s="85"/>
      <c r="I805" s="85"/>
      <c r="J805" s="85"/>
      <c r="K805" s="87"/>
      <c r="M805" s="134"/>
      <c r="N805" s="134"/>
      <c r="O805" s="133"/>
    </row>
    <row r="806" spans="1:15" ht="9" customHeight="1">
      <c r="A806" s="55"/>
      <c r="B806" s="86"/>
      <c r="C806" s="86"/>
      <c r="D806" s="86"/>
      <c r="E806" s="86"/>
      <c r="F806" s="86"/>
      <c r="G806" s="86"/>
      <c r="H806" s="86"/>
      <c r="I806" s="86"/>
      <c r="J806" s="86"/>
      <c r="K806" s="81"/>
      <c r="M806" s="134"/>
      <c r="N806" s="134"/>
      <c r="O806" s="133"/>
    </row>
    <row r="807" spans="1:15" ht="12.75" customHeight="1">
      <c r="A807" s="575" t="s">
        <v>68</v>
      </c>
      <c r="B807" s="576"/>
      <c r="C807" s="576"/>
      <c r="D807" s="576"/>
      <c r="E807" s="576"/>
      <c r="F807" s="576"/>
      <c r="G807" s="576"/>
      <c r="H807" s="576"/>
      <c r="I807" s="576"/>
      <c r="J807" s="576"/>
      <c r="K807" s="577"/>
      <c r="M807" s="134"/>
      <c r="N807" s="134"/>
      <c r="O807" s="133"/>
    </row>
    <row r="808" spans="1:15" ht="7.5" customHeight="1">
      <c r="A808" s="55"/>
      <c r="B808" s="86"/>
      <c r="C808" s="86"/>
      <c r="D808" s="86"/>
      <c r="E808" s="86"/>
      <c r="F808" s="86"/>
      <c r="G808" s="86"/>
      <c r="H808" s="86"/>
      <c r="I808" s="86"/>
      <c r="J808" s="85"/>
      <c r="K808" s="81"/>
      <c r="M808" s="134"/>
      <c r="N808" s="134"/>
      <c r="O808" s="133"/>
    </row>
    <row r="809" spans="1:15" ht="12.75" customHeight="1">
      <c r="A809" s="84"/>
      <c r="B809" s="83" t="s">
        <v>11</v>
      </c>
      <c r="C809" s="578" t="s">
        <v>361</v>
      </c>
      <c r="D809" s="579"/>
      <c r="E809" s="579"/>
      <c r="F809" s="579"/>
      <c r="G809" s="579"/>
      <c r="H809" s="579"/>
      <c r="I809" s="579"/>
      <c r="J809" s="580"/>
      <c r="K809" s="81"/>
      <c r="M809" s="134"/>
      <c r="N809" s="134"/>
      <c r="O809" s="133"/>
    </row>
    <row r="810" spans="1:15" ht="6.75" customHeight="1">
      <c r="A810" s="80"/>
      <c r="K810" s="81"/>
      <c r="M810" s="134"/>
      <c r="N810" s="134"/>
      <c r="O810" s="133"/>
    </row>
    <row r="811" spans="1:15" ht="12.75" customHeight="1">
      <c r="A811" s="80"/>
      <c r="B811" s="82" t="s">
        <v>67</v>
      </c>
      <c r="C811" s="581" t="s">
        <v>66</v>
      </c>
      <c r="D811" s="582"/>
      <c r="E811" s="582"/>
      <c r="F811" s="582"/>
      <c r="G811" s="582"/>
      <c r="H811" s="582"/>
      <c r="I811" s="582"/>
      <c r="J811" s="583"/>
      <c r="K811" s="81"/>
      <c r="M811" s="134"/>
      <c r="N811" s="134"/>
      <c r="O811" s="133"/>
    </row>
    <row r="812" spans="1:15" ht="7.5" customHeight="1">
      <c r="A812" s="80"/>
      <c r="B812" s="79"/>
      <c r="D812" s="78"/>
      <c r="E812" s="78"/>
      <c r="F812" s="78"/>
      <c r="G812" s="78"/>
      <c r="H812" s="78"/>
      <c r="I812" s="78"/>
      <c r="K812" s="77"/>
      <c r="M812" s="134"/>
      <c r="N812" s="134"/>
      <c r="O812" s="133"/>
    </row>
    <row r="813" spans="1:15" ht="12.75" customHeight="1">
      <c r="A813" s="584" t="s">
        <v>84</v>
      </c>
      <c r="B813" s="585" t="s">
        <v>83</v>
      </c>
      <c r="C813" s="585" t="s">
        <v>82</v>
      </c>
      <c r="D813" s="585" t="s">
        <v>81</v>
      </c>
      <c r="E813" s="564" t="s">
        <v>80</v>
      </c>
      <c r="F813" s="564"/>
      <c r="G813" s="564"/>
      <c r="H813" s="564" t="s">
        <v>79</v>
      </c>
      <c r="I813" s="564"/>
      <c r="J813" s="564"/>
      <c r="K813" s="565" t="s">
        <v>58</v>
      </c>
      <c r="M813" s="134"/>
      <c r="N813" s="134"/>
      <c r="O813" s="133"/>
    </row>
    <row r="814" spans="1:15" ht="12.75" customHeight="1">
      <c r="A814" s="584"/>
      <c r="B814" s="585"/>
      <c r="C814" s="585"/>
      <c r="D814" s="585"/>
      <c r="E814" s="125" t="s">
        <v>78</v>
      </c>
      <c r="F814" s="125" t="s">
        <v>77</v>
      </c>
      <c r="G814" s="125" t="s">
        <v>76</v>
      </c>
      <c r="H814" s="125" t="s">
        <v>75</v>
      </c>
      <c r="I814" s="125" t="s">
        <v>74</v>
      </c>
      <c r="J814" s="125" t="s">
        <v>73</v>
      </c>
      <c r="K814" s="565"/>
      <c r="M814" s="134"/>
      <c r="N814" s="134"/>
      <c r="O814" s="133"/>
    </row>
    <row r="815" spans="1:15" ht="12.75" customHeight="1">
      <c r="A815" s="584"/>
      <c r="B815" s="585"/>
      <c r="C815" s="585"/>
      <c r="D815" s="585"/>
      <c r="E815" s="125" t="s">
        <v>70</v>
      </c>
      <c r="F815" s="125" t="s">
        <v>70</v>
      </c>
      <c r="G815" s="125" t="s">
        <v>70</v>
      </c>
      <c r="H815" s="125" t="s">
        <v>72</v>
      </c>
      <c r="I815" s="125" t="s">
        <v>71</v>
      </c>
      <c r="J815" s="125" t="s">
        <v>70</v>
      </c>
      <c r="K815" s="565"/>
      <c r="M815" s="134"/>
      <c r="N815" s="134"/>
      <c r="O815" s="133"/>
    </row>
    <row r="816" spans="1:15" ht="12.75" customHeight="1">
      <c r="A816" s="66">
        <v>11</v>
      </c>
      <c r="B816" s="65" t="s">
        <v>122</v>
      </c>
      <c r="C816" s="64" t="s">
        <v>48</v>
      </c>
      <c r="D816" s="76"/>
      <c r="E816" s="75"/>
      <c r="F816" s="75"/>
      <c r="G816" s="75"/>
      <c r="H816" s="75"/>
      <c r="I816" s="75"/>
      <c r="J816" s="74"/>
      <c r="K816" s="63"/>
      <c r="M816" s="134"/>
      <c r="N816" s="134"/>
      <c r="O816" s="133"/>
    </row>
    <row r="817" spans="1:15" ht="12.75" customHeight="1">
      <c r="A817" s="118"/>
      <c r="B817" s="94" t="s">
        <v>393</v>
      </c>
      <c r="C817" s="93"/>
      <c r="D817" s="69">
        <v>1</v>
      </c>
      <c r="E817" s="68">
        <v>0.3</v>
      </c>
      <c r="F817" s="68">
        <v>0.5</v>
      </c>
      <c r="G817" s="68">
        <f>1.3+5+3.6-0.7</f>
        <v>9.2000000000000011</v>
      </c>
      <c r="H817" s="68">
        <f t="shared" si="62"/>
        <v>1.3800000000000001</v>
      </c>
      <c r="I817" s="68"/>
      <c r="J817" s="114"/>
      <c r="K817" s="117"/>
      <c r="M817" s="134"/>
      <c r="N817" s="134"/>
      <c r="O817" s="133"/>
    </row>
    <row r="818" spans="1:15" ht="12.75" customHeight="1">
      <c r="A818" s="118"/>
      <c r="B818" s="94" t="s">
        <v>394</v>
      </c>
      <c r="C818" s="93"/>
      <c r="D818" s="69">
        <v>1</v>
      </c>
      <c r="E818" s="68">
        <v>0.3</v>
      </c>
      <c r="F818" s="68">
        <v>0.4</v>
      </c>
      <c r="G818" s="68">
        <f>1.45+5+3.6-0.5</f>
        <v>9.5500000000000007</v>
      </c>
      <c r="H818" s="68">
        <f t="shared" si="62"/>
        <v>1.1460000000000001</v>
      </c>
      <c r="I818" s="68"/>
      <c r="J818" s="114"/>
      <c r="K818" s="117"/>
      <c r="M818" s="134"/>
      <c r="N818" s="134"/>
      <c r="O818" s="133"/>
    </row>
    <row r="819" spans="1:15" ht="12.75" customHeight="1">
      <c r="A819" s="118"/>
      <c r="B819" s="94" t="s">
        <v>395</v>
      </c>
      <c r="C819" s="93"/>
      <c r="D819" s="69">
        <v>1</v>
      </c>
      <c r="E819" s="68">
        <v>0.3</v>
      </c>
      <c r="F819" s="68">
        <v>0.4</v>
      </c>
      <c r="G819" s="68">
        <f>1.3+5+3.6-0.5</f>
        <v>9.4</v>
      </c>
      <c r="H819" s="68">
        <f t="shared" si="62"/>
        <v>1.1279999999999999</v>
      </c>
      <c r="I819" s="68"/>
      <c r="J819" s="114"/>
      <c r="K819" s="117"/>
      <c r="M819" s="134"/>
      <c r="N819" s="134"/>
      <c r="O819" s="133"/>
    </row>
    <row r="820" spans="1:15" ht="12.75" customHeight="1">
      <c r="A820" s="118"/>
      <c r="B820" s="94" t="s">
        <v>396</v>
      </c>
      <c r="C820" s="93"/>
      <c r="D820" s="69">
        <v>1</v>
      </c>
      <c r="E820" s="68">
        <v>0.45</v>
      </c>
      <c r="F820" s="68">
        <v>0.45</v>
      </c>
      <c r="G820" s="68">
        <f>1.3+5+3.6-0.95</f>
        <v>8.9500000000000011</v>
      </c>
      <c r="H820" s="68">
        <f t="shared" si="62"/>
        <v>1.8123750000000003</v>
      </c>
      <c r="I820" s="68"/>
      <c r="J820" s="114"/>
      <c r="K820" s="117"/>
      <c r="M820" s="134"/>
      <c r="N820" s="134"/>
      <c r="O820" s="133"/>
    </row>
    <row r="821" spans="1:15" ht="12.75" customHeight="1">
      <c r="A821" s="118"/>
      <c r="B821" s="94" t="s">
        <v>368</v>
      </c>
      <c r="C821" s="93"/>
      <c r="D821" s="69">
        <v>1</v>
      </c>
      <c r="E821" s="68">
        <v>0.4</v>
      </c>
      <c r="F821" s="68">
        <v>0.4</v>
      </c>
      <c r="G821" s="68">
        <f>2+5+3.6-0.5</f>
        <v>10.1</v>
      </c>
      <c r="H821" s="68">
        <f t="shared" si="62"/>
        <v>1.6160000000000003</v>
      </c>
      <c r="I821" s="68"/>
      <c r="J821" s="114"/>
      <c r="K821" s="117"/>
      <c r="M821" s="134"/>
      <c r="N821" s="134"/>
      <c r="O821" s="133"/>
    </row>
    <row r="822" spans="1:15" ht="12.75" customHeight="1">
      <c r="A822" s="118"/>
      <c r="B822" s="94" t="s">
        <v>397</v>
      </c>
      <c r="C822" s="93"/>
      <c r="D822" s="69">
        <v>1</v>
      </c>
      <c r="E822" s="68">
        <v>0.4</v>
      </c>
      <c r="F822" s="68">
        <v>0.6</v>
      </c>
      <c r="G822" s="68">
        <f>1.3+5+3.6-0.7</f>
        <v>9.2000000000000011</v>
      </c>
      <c r="H822" s="68">
        <f t="shared" si="62"/>
        <v>2.2080000000000002</v>
      </c>
      <c r="I822" s="68"/>
      <c r="J822" s="114"/>
      <c r="K822" s="117"/>
      <c r="M822" s="134"/>
      <c r="N822" s="134"/>
      <c r="O822" s="133"/>
    </row>
    <row r="823" spans="1:15" ht="12.75" customHeight="1">
      <c r="A823" s="118"/>
      <c r="B823" s="94" t="s">
        <v>398</v>
      </c>
      <c r="C823" s="93"/>
      <c r="D823" s="69">
        <v>1</v>
      </c>
      <c r="E823" s="68">
        <v>0.3</v>
      </c>
      <c r="F823" s="68">
        <v>0.3</v>
      </c>
      <c r="G823" s="68">
        <f>1.5+5+3.6-0.5</f>
        <v>9.6</v>
      </c>
      <c r="H823" s="68">
        <f t="shared" si="62"/>
        <v>0.86399999999999999</v>
      </c>
      <c r="I823" s="68"/>
      <c r="J823" s="114"/>
      <c r="K823" s="117"/>
      <c r="M823" s="134"/>
      <c r="N823" s="134"/>
      <c r="O823" s="133"/>
    </row>
    <row r="824" spans="1:15" ht="12.75" customHeight="1">
      <c r="A824" s="118"/>
      <c r="B824" s="94" t="s">
        <v>399</v>
      </c>
      <c r="C824" s="93"/>
      <c r="D824" s="69">
        <v>1</v>
      </c>
      <c r="E824" s="68">
        <v>0.3</v>
      </c>
      <c r="F824" s="68">
        <v>0.3</v>
      </c>
      <c r="G824" s="68">
        <f>1.3+5+3.6-0.5</f>
        <v>9.4</v>
      </c>
      <c r="H824" s="68">
        <f t="shared" si="62"/>
        <v>0.84599999999999997</v>
      </c>
      <c r="I824" s="68"/>
      <c r="J824" s="114"/>
      <c r="K824" s="117"/>
      <c r="M824" s="134"/>
      <c r="N824" s="134"/>
      <c r="O824" s="133"/>
    </row>
    <row r="825" spans="1:15" ht="12.75" customHeight="1">
      <c r="A825" s="118"/>
      <c r="B825" s="94" t="s">
        <v>400</v>
      </c>
      <c r="C825" s="93"/>
      <c r="D825" s="69">
        <v>1</v>
      </c>
      <c r="E825" s="68">
        <v>0.4</v>
      </c>
      <c r="F825" s="68">
        <v>0.4</v>
      </c>
      <c r="G825" s="68">
        <f>1.45+5+3.6-0.5</f>
        <v>9.5500000000000007</v>
      </c>
      <c r="H825" s="68">
        <f t="shared" si="62"/>
        <v>1.5280000000000005</v>
      </c>
      <c r="I825" s="68"/>
      <c r="J825" s="114"/>
      <c r="K825" s="117"/>
      <c r="M825" s="134"/>
      <c r="N825" s="134"/>
      <c r="O825" s="133"/>
    </row>
    <row r="826" spans="1:15" ht="12.75" customHeight="1">
      <c r="A826" s="118"/>
      <c r="B826" s="94" t="s">
        <v>401</v>
      </c>
      <c r="C826" s="93"/>
      <c r="D826" s="69">
        <v>1</v>
      </c>
      <c r="E826" s="68">
        <v>0.3</v>
      </c>
      <c r="F826" s="68">
        <v>0.3</v>
      </c>
      <c r="G826" s="68">
        <f>1.3+5+3.6-0.5</f>
        <v>9.4</v>
      </c>
      <c r="H826" s="68">
        <f t="shared" si="62"/>
        <v>0.84599999999999997</v>
      </c>
      <c r="I826" s="68"/>
      <c r="J826" s="114"/>
      <c r="K826" s="117"/>
      <c r="M826" s="134"/>
      <c r="N826" s="134"/>
      <c r="O826" s="133"/>
    </row>
    <row r="827" spans="1:15" ht="12.75" customHeight="1">
      <c r="A827" s="118"/>
      <c r="B827" s="94" t="s">
        <v>402</v>
      </c>
      <c r="C827" s="93"/>
      <c r="D827" s="69">
        <v>1</v>
      </c>
      <c r="E827" s="68">
        <v>0.4</v>
      </c>
      <c r="F827" s="68">
        <v>0.6</v>
      </c>
      <c r="G827" s="68">
        <f>1.3+5+3.6-0.7</f>
        <v>9.2000000000000011</v>
      </c>
      <c r="H827" s="68">
        <f t="shared" si="62"/>
        <v>2.2080000000000002</v>
      </c>
      <c r="I827" s="68"/>
      <c r="J827" s="114"/>
      <c r="K827" s="117"/>
      <c r="M827" s="134"/>
      <c r="N827" s="134"/>
      <c r="O827" s="133"/>
    </row>
    <row r="828" spans="1:15" ht="12.75" customHeight="1">
      <c r="A828" s="118"/>
      <c r="B828" s="94" t="s">
        <v>403</v>
      </c>
      <c r="C828" s="93"/>
      <c r="D828" s="69">
        <v>1</v>
      </c>
      <c r="E828" s="68">
        <v>0.4</v>
      </c>
      <c r="F828" s="68">
        <v>0.6</v>
      </c>
      <c r="G828" s="68">
        <f>1.3+5+3.6-0.7</f>
        <v>9.2000000000000011</v>
      </c>
      <c r="H828" s="68">
        <f t="shared" si="62"/>
        <v>2.2080000000000002</v>
      </c>
      <c r="I828" s="68"/>
      <c r="J828" s="114"/>
      <c r="K828" s="117"/>
      <c r="M828" s="134"/>
      <c r="N828" s="134"/>
      <c r="O828" s="133"/>
    </row>
    <row r="829" spans="1:15" ht="12.75" customHeight="1">
      <c r="A829" s="118"/>
      <c r="B829" s="94" t="s">
        <v>404</v>
      </c>
      <c r="C829" s="93"/>
      <c r="D829" s="69">
        <v>1</v>
      </c>
      <c r="E829" s="68">
        <v>0.4</v>
      </c>
      <c r="F829" s="68">
        <v>0.6</v>
      </c>
      <c r="G829" s="68">
        <f>1.3+5+3.6-0.7</f>
        <v>9.2000000000000011</v>
      </c>
      <c r="H829" s="68">
        <f t="shared" si="62"/>
        <v>2.2080000000000002</v>
      </c>
      <c r="I829" s="68"/>
      <c r="J829" s="114"/>
      <c r="K829" s="117"/>
      <c r="M829" s="134"/>
      <c r="N829" s="134"/>
      <c r="O829" s="133"/>
    </row>
    <row r="830" spans="1:15" ht="12.75" customHeight="1">
      <c r="A830" s="118"/>
      <c r="B830" s="94" t="s">
        <v>405</v>
      </c>
      <c r="C830" s="93"/>
      <c r="D830" s="69">
        <v>1</v>
      </c>
      <c r="E830" s="68">
        <v>0.4</v>
      </c>
      <c r="F830" s="68">
        <v>0.6</v>
      </c>
      <c r="G830" s="68">
        <f>1.3+5+3.6-0.7</f>
        <v>9.2000000000000011</v>
      </c>
      <c r="H830" s="68">
        <f t="shared" si="62"/>
        <v>2.2080000000000002</v>
      </c>
      <c r="I830" s="68"/>
      <c r="J830" s="114"/>
      <c r="K830" s="117"/>
      <c r="M830" s="134"/>
      <c r="N830" s="134"/>
      <c r="O830" s="133"/>
    </row>
    <row r="831" spans="1:15" ht="12.75" customHeight="1">
      <c r="A831" s="118"/>
      <c r="B831" s="94" t="s">
        <v>497</v>
      </c>
      <c r="C831" s="93"/>
      <c r="D831" s="69">
        <v>1</v>
      </c>
      <c r="E831" s="68">
        <v>0.3</v>
      </c>
      <c r="F831" s="68">
        <v>0.3</v>
      </c>
      <c r="G831" s="68">
        <f>1.5+5+3.6-0.5</f>
        <v>9.6</v>
      </c>
      <c r="H831" s="68">
        <f t="shared" si="62"/>
        <v>0.86399999999999999</v>
      </c>
      <c r="I831" s="68"/>
      <c r="J831" s="114"/>
      <c r="K831" s="117"/>
      <c r="M831" s="134"/>
      <c r="N831" s="134"/>
      <c r="O831" s="133"/>
    </row>
    <row r="832" spans="1:15" ht="12.75" customHeight="1">
      <c r="A832" s="118"/>
      <c r="B832" s="94" t="s">
        <v>498</v>
      </c>
      <c r="C832" s="93"/>
      <c r="D832" s="69">
        <v>1</v>
      </c>
      <c r="E832" s="68">
        <v>0.3</v>
      </c>
      <c r="F832" s="68">
        <v>0.3</v>
      </c>
      <c r="G832" s="68">
        <f>1.65+5+3.6-0.5</f>
        <v>9.75</v>
      </c>
      <c r="H832" s="68">
        <f t="shared" si="62"/>
        <v>0.87749999999999995</v>
      </c>
      <c r="I832" s="68"/>
      <c r="J832" s="114"/>
      <c r="K832" s="117"/>
      <c r="M832" s="134"/>
      <c r="N832" s="134"/>
      <c r="O832" s="133"/>
    </row>
    <row r="833" spans="1:15" ht="12.75" customHeight="1">
      <c r="A833" s="118"/>
      <c r="B833" s="94" t="s">
        <v>499</v>
      </c>
      <c r="C833" s="93"/>
      <c r="D833" s="69">
        <v>1</v>
      </c>
      <c r="E833" s="68">
        <v>0.5</v>
      </c>
      <c r="F833" s="68"/>
      <c r="G833" s="68">
        <f>1.3+5+3.6-0.7</f>
        <v>9.2000000000000011</v>
      </c>
      <c r="H833" s="68">
        <f t="shared" si="62"/>
        <v>4.6000000000000005</v>
      </c>
      <c r="I833" s="68"/>
      <c r="J833" s="114"/>
      <c r="K833" s="117"/>
      <c r="M833" s="134"/>
      <c r="N833" s="134"/>
      <c r="O833" s="133"/>
    </row>
    <row r="834" spans="1:15" ht="12.75" customHeight="1">
      <c r="A834" s="118"/>
      <c r="B834" s="119" t="s">
        <v>406</v>
      </c>
      <c r="C834" s="93"/>
      <c r="D834" s="69"/>
      <c r="E834" s="68"/>
      <c r="F834" s="68"/>
      <c r="G834" s="68">
        <f>2+5+3.6</f>
        <v>10.6</v>
      </c>
      <c r="H834" s="68">
        <f t="shared" si="62"/>
        <v>10.6</v>
      </c>
      <c r="I834" s="68"/>
      <c r="J834" s="114"/>
      <c r="K834" s="117"/>
      <c r="M834" s="134"/>
      <c r="N834" s="134"/>
      <c r="O834" s="133"/>
    </row>
    <row r="835" spans="1:15" ht="12.75" customHeight="1">
      <c r="A835" s="118"/>
      <c r="B835" s="137" t="s">
        <v>407</v>
      </c>
      <c r="C835" s="148"/>
      <c r="D835" s="149">
        <v>1</v>
      </c>
      <c r="E835" s="150">
        <v>0.35</v>
      </c>
      <c r="F835" s="150"/>
      <c r="G835" s="150">
        <f>3+5-0.25</f>
        <v>7.75</v>
      </c>
      <c r="H835" s="150">
        <f>((PI()/4)*(E835*E835))*G835</f>
        <v>0.74563738137545232</v>
      </c>
      <c r="I835" s="68"/>
      <c r="J835" s="114"/>
      <c r="K835" s="117"/>
      <c r="M835" s="134"/>
      <c r="N835" s="134"/>
      <c r="O835" s="133"/>
    </row>
    <row r="836" spans="1:15" ht="12.75" customHeight="1">
      <c r="A836" s="118"/>
      <c r="B836" s="137" t="s">
        <v>408</v>
      </c>
      <c r="C836" s="148"/>
      <c r="D836" s="149">
        <v>1</v>
      </c>
      <c r="E836" s="150">
        <v>0.35</v>
      </c>
      <c r="F836" s="150"/>
      <c r="G836" s="150">
        <f>1.45+5-0.25</f>
        <v>6.2</v>
      </c>
      <c r="H836" s="150">
        <f>((PI()/4)*(E836*E836))*G836</f>
        <v>0.59650990510036184</v>
      </c>
      <c r="I836" s="68"/>
      <c r="J836" s="114"/>
      <c r="K836" s="117"/>
      <c r="M836" s="134"/>
      <c r="N836" s="134"/>
      <c r="O836" s="133"/>
    </row>
    <row r="837" spans="1:15" ht="12.75" customHeight="1">
      <c r="A837" s="118"/>
      <c r="B837" s="137" t="s">
        <v>409</v>
      </c>
      <c r="C837" s="148"/>
      <c r="D837" s="149">
        <v>1</v>
      </c>
      <c r="E837" s="150">
        <v>0.3</v>
      </c>
      <c r="F837" s="150">
        <v>0.3</v>
      </c>
      <c r="G837" s="150">
        <f>3+5-0.25</f>
        <v>7.75</v>
      </c>
      <c r="H837" s="150">
        <f t="shared" si="62"/>
        <v>0.69750000000000001</v>
      </c>
      <c r="I837" s="68"/>
      <c r="J837" s="114"/>
      <c r="K837" s="117"/>
      <c r="M837" s="134"/>
      <c r="N837" s="134"/>
      <c r="O837" s="133"/>
    </row>
    <row r="838" spans="1:15" ht="12.75" customHeight="1">
      <c r="A838" s="118"/>
      <c r="B838" s="137" t="s">
        <v>410</v>
      </c>
      <c r="C838" s="148"/>
      <c r="D838" s="149">
        <v>1</v>
      </c>
      <c r="E838" s="150">
        <v>0.3</v>
      </c>
      <c r="F838" s="150">
        <v>0.3</v>
      </c>
      <c r="G838" s="150">
        <f>1.45+5-0.25</f>
        <v>6.2</v>
      </c>
      <c r="H838" s="150">
        <f t="shared" si="62"/>
        <v>0.55799999999999994</v>
      </c>
      <c r="I838" s="68"/>
      <c r="J838" s="114"/>
      <c r="K838" s="117"/>
      <c r="M838" s="134"/>
      <c r="N838" s="134"/>
      <c r="O838" s="133"/>
    </row>
    <row r="839" spans="1:15" ht="12.75" customHeight="1">
      <c r="A839" s="118"/>
      <c r="B839" s="137" t="s">
        <v>411</v>
      </c>
      <c r="C839" s="148"/>
      <c r="D839" s="149">
        <v>1</v>
      </c>
      <c r="E839" s="150">
        <v>0.35</v>
      </c>
      <c r="F839" s="150"/>
      <c r="G839" s="150">
        <f>3+5-0.25</f>
        <v>7.75</v>
      </c>
      <c r="H839" s="150">
        <f>((PI()/4)*(E839*E839))*G839</f>
        <v>0.74563738137545232</v>
      </c>
      <c r="I839" s="68"/>
      <c r="J839" s="114"/>
      <c r="K839" s="117"/>
      <c r="M839" s="134"/>
      <c r="N839" s="134"/>
      <c r="O839" s="133"/>
    </row>
    <row r="840" spans="1:15" ht="12.75" customHeight="1">
      <c r="A840" s="116"/>
      <c r="B840" s="166" t="s">
        <v>412</v>
      </c>
      <c r="C840" s="167"/>
      <c r="D840" s="168">
        <v>1</v>
      </c>
      <c r="E840" s="169">
        <v>0.35</v>
      </c>
      <c r="F840" s="169"/>
      <c r="G840" s="169">
        <f>1.3+5-0.25</f>
        <v>6.05</v>
      </c>
      <c r="H840" s="169">
        <f>((PI()/4)*(E840*E840))*G840</f>
        <v>0.58207821384793379</v>
      </c>
      <c r="I840" s="67"/>
      <c r="J840" s="128"/>
      <c r="K840" s="164"/>
      <c r="M840" s="134"/>
      <c r="N840" s="134"/>
      <c r="O840" s="133"/>
    </row>
    <row r="841" spans="1:15" ht="12.75" customHeight="1">
      <c r="A841" s="118"/>
      <c r="B841" s="94" t="s">
        <v>413</v>
      </c>
      <c r="C841" s="93"/>
      <c r="D841" s="69">
        <v>1</v>
      </c>
      <c r="E841" s="68">
        <v>0.3</v>
      </c>
      <c r="F841" s="68">
        <v>0.3</v>
      </c>
      <c r="G841" s="68">
        <f>1.45+5+3.6-0.5</f>
        <v>9.5500000000000007</v>
      </c>
      <c r="H841" s="68">
        <f t="shared" ref="H841:H856" si="63">PRODUCT(D841:G841)</f>
        <v>0.85950000000000004</v>
      </c>
      <c r="I841" s="68"/>
      <c r="J841" s="114"/>
      <c r="K841" s="117"/>
      <c r="M841" s="134"/>
      <c r="N841" s="134"/>
      <c r="O841" s="133"/>
    </row>
    <row r="842" spans="1:15" ht="12.75" customHeight="1">
      <c r="A842" s="118"/>
      <c r="B842" s="94" t="s">
        <v>414</v>
      </c>
      <c r="C842" s="93"/>
      <c r="D842" s="69">
        <v>1</v>
      </c>
      <c r="E842" s="68">
        <v>0.3</v>
      </c>
      <c r="F842" s="68">
        <v>0.3</v>
      </c>
      <c r="G842" s="68">
        <f>1.6+5+3.6-0.5</f>
        <v>9.6999999999999993</v>
      </c>
      <c r="H842" s="68">
        <f t="shared" si="63"/>
        <v>0.87299999999999989</v>
      </c>
      <c r="I842" s="68"/>
      <c r="J842" s="114"/>
      <c r="K842" s="117"/>
      <c r="M842" s="134"/>
      <c r="N842" s="134"/>
      <c r="O842" s="133"/>
    </row>
    <row r="843" spans="1:15" ht="12.75" customHeight="1">
      <c r="A843" s="118"/>
      <c r="B843" s="94" t="s">
        <v>415</v>
      </c>
      <c r="C843" s="93"/>
      <c r="D843" s="69">
        <v>1</v>
      </c>
      <c r="E843" s="68">
        <v>0.35</v>
      </c>
      <c r="F843" s="68">
        <v>0.35</v>
      </c>
      <c r="G843" s="68">
        <f>1.45+5+3.6-0.5</f>
        <v>9.5500000000000007</v>
      </c>
      <c r="H843" s="68">
        <f t="shared" si="63"/>
        <v>1.169875</v>
      </c>
      <c r="I843" s="68"/>
      <c r="J843" s="114"/>
      <c r="K843" s="117"/>
      <c r="M843" s="134"/>
      <c r="N843" s="134"/>
      <c r="O843" s="133"/>
    </row>
    <row r="844" spans="1:15" ht="12.75" customHeight="1">
      <c r="A844" s="118"/>
      <c r="B844" s="94" t="s">
        <v>416</v>
      </c>
      <c r="C844" s="93"/>
      <c r="D844" s="69">
        <v>1</v>
      </c>
      <c r="E844" s="68">
        <v>0.35</v>
      </c>
      <c r="F844" s="68">
        <v>0.35</v>
      </c>
      <c r="G844" s="68">
        <f>1.3+5+3.6-0.5</f>
        <v>9.4</v>
      </c>
      <c r="H844" s="68">
        <f t="shared" si="63"/>
        <v>1.1515</v>
      </c>
      <c r="I844" s="68"/>
      <c r="J844" s="114"/>
      <c r="K844" s="117"/>
      <c r="M844" s="134"/>
      <c r="N844" s="134"/>
      <c r="O844" s="133"/>
    </row>
    <row r="845" spans="1:15" ht="12.75" customHeight="1">
      <c r="A845" s="118"/>
      <c r="B845" s="94" t="s">
        <v>369</v>
      </c>
      <c r="C845" s="93"/>
      <c r="D845" s="69">
        <v>1</v>
      </c>
      <c r="E845" s="68">
        <v>0.4</v>
      </c>
      <c r="F845" s="68">
        <v>0.4</v>
      </c>
      <c r="G845" s="68">
        <f>3+5+3.6-0.5</f>
        <v>11.1</v>
      </c>
      <c r="H845" s="68">
        <f t="shared" si="63"/>
        <v>1.7760000000000002</v>
      </c>
      <c r="I845" s="68"/>
      <c r="J845" s="114"/>
      <c r="K845" s="117"/>
      <c r="M845" s="134"/>
      <c r="N845" s="134"/>
      <c r="O845" s="133"/>
    </row>
    <row r="846" spans="1:15" ht="12.75" customHeight="1">
      <c r="A846" s="118"/>
      <c r="B846" s="94" t="s">
        <v>417</v>
      </c>
      <c r="C846" s="93"/>
      <c r="D846" s="69">
        <v>1</v>
      </c>
      <c r="E846" s="68">
        <v>0.4</v>
      </c>
      <c r="F846" s="68">
        <v>0.4</v>
      </c>
      <c r="G846" s="68">
        <f>1+5+3.6-0.6</f>
        <v>9</v>
      </c>
      <c r="H846" s="68">
        <f t="shared" si="63"/>
        <v>1.4400000000000004</v>
      </c>
      <c r="I846" s="68"/>
      <c r="J846" s="114"/>
      <c r="K846" s="117"/>
      <c r="M846" s="134"/>
      <c r="N846" s="134"/>
      <c r="O846" s="133"/>
    </row>
    <row r="847" spans="1:15" ht="12.75" customHeight="1">
      <c r="A847" s="118"/>
      <c r="B847" s="94" t="s">
        <v>418</v>
      </c>
      <c r="C847" s="93"/>
      <c r="D847" s="69">
        <v>1</v>
      </c>
      <c r="E847" s="68">
        <v>0.3</v>
      </c>
      <c r="F847" s="68">
        <v>0.3</v>
      </c>
      <c r="G847" s="68">
        <f>1.5+5+3.6-0.6</f>
        <v>9.5</v>
      </c>
      <c r="H847" s="68">
        <f t="shared" si="63"/>
        <v>0.85499999999999998</v>
      </c>
      <c r="I847" s="68"/>
      <c r="J847" s="114"/>
      <c r="K847" s="117"/>
      <c r="M847" s="134"/>
      <c r="N847" s="134"/>
      <c r="O847" s="133"/>
    </row>
    <row r="848" spans="1:15" ht="12.75" customHeight="1">
      <c r="A848" s="118"/>
      <c r="B848" s="94" t="s">
        <v>419</v>
      </c>
      <c r="C848" s="93"/>
      <c r="D848" s="69">
        <v>1</v>
      </c>
      <c r="E848" s="68">
        <v>0.35</v>
      </c>
      <c r="F848" s="68">
        <v>0.35</v>
      </c>
      <c r="G848" s="68">
        <f>1.4+5+3.6-0.6</f>
        <v>9.4</v>
      </c>
      <c r="H848" s="68">
        <f t="shared" si="63"/>
        <v>1.1515</v>
      </c>
      <c r="I848" s="68"/>
      <c r="J848" s="114"/>
      <c r="K848" s="117"/>
      <c r="M848" s="134"/>
      <c r="N848" s="134"/>
      <c r="O848" s="133"/>
    </row>
    <row r="849" spans="1:15" ht="12.75" customHeight="1">
      <c r="A849" s="118"/>
      <c r="B849" s="94" t="s">
        <v>420</v>
      </c>
      <c r="C849" s="93"/>
      <c r="D849" s="69">
        <v>1</v>
      </c>
      <c r="E849" s="68">
        <v>0.4</v>
      </c>
      <c r="F849" s="68">
        <v>0.4</v>
      </c>
      <c r="G849" s="68">
        <f>1.45+5+3.6-0.6</f>
        <v>9.4500000000000011</v>
      </c>
      <c r="H849" s="68">
        <f t="shared" si="63"/>
        <v>1.5120000000000005</v>
      </c>
      <c r="I849" s="68"/>
      <c r="J849" s="114"/>
      <c r="K849" s="117"/>
      <c r="M849" s="134"/>
      <c r="N849" s="134"/>
      <c r="O849" s="133"/>
    </row>
    <row r="850" spans="1:15" ht="12.75" customHeight="1">
      <c r="A850" s="118"/>
      <c r="B850" s="94" t="s">
        <v>500</v>
      </c>
      <c r="C850" s="93"/>
      <c r="D850" s="69">
        <v>1</v>
      </c>
      <c r="E850" s="68">
        <v>0.3</v>
      </c>
      <c r="F850" s="68">
        <v>0.3</v>
      </c>
      <c r="G850" s="68">
        <f>0.6+5+3.6-0.5</f>
        <v>8.6999999999999993</v>
      </c>
      <c r="H850" s="68">
        <f t="shared" si="63"/>
        <v>0.78299999999999992</v>
      </c>
      <c r="I850" s="68"/>
      <c r="J850" s="114"/>
      <c r="K850" s="117"/>
      <c r="M850" s="134"/>
      <c r="N850" s="134"/>
      <c r="O850" s="133"/>
    </row>
    <row r="851" spans="1:15" ht="12.75" customHeight="1">
      <c r="A851" s="118"/>
      <c r="B851" s="94" t="s">
        <v>501</v>
      </c>
      <c r="C851" s="93"/>
      <c r="D851" s="69">
        <v>1</v>
      </c>
      <c r="E851" s="68">
        <v>0.3</v>
      </c>
      <c r="F851" s="68">
        <v>0.3</v>
      </c>
      <c r="G851" s="68">
        <f>1.3+5+3.6-0.6</f>
        <v>9.3000000000000007</v>
      </c>
      <c r="H851" s="68">
        <f t="shared" si="63"/>
        <v>0.83700000000000008</v>
      </c>
      <c r="I851" s="68"/>
      <c r="J851" s="114"/>
      <c r="K851" s="117"/>
      <c r="M851" s="134"/>
      <c r="N851" s="134"/>
      <c r="O851" s="133"/>
    </row>
    <row r="852" spans="1:15" ht="12.75" customHeight="1">
      <c r="A852" s="118"/>
      <c r="B852" s="94" t="s">
        <v>502</v>
      </c>
      <c r="C852" s="93"/>
      <c r="D852" s="69">
        <v>1</v>
      </c>
      <c r="E852" s="68">
        <v>0.3</v>
      </c>
      <c r="F852" s="68">
        <v>0.3</v>
      </c>
      <c r="G852" s="68">
        <f>1.3+5+3.6-0.5</f>
        <v>9.4</v>
      </c>
      <c r="H852" s="68">
        <f t="shared" si="63"/>
        <v>0.84599999999999997</v>
      </c>
      <c r="I852" s="68"/>
      <c r="J852" s="114"/>
      <c r="K852" s="117"/>
      <c r="M852" s="134"/>
      <c r="N852" s="134"/>
      <c r="O852" s="133"/>
    </row>
    <row r="853" spans="1:15" ht="12.75" customHeight="1">
      <c r="A853" s="118"/>
      <c r="B853" s="94" t="s">
        <v>503</v>
      </c>
      <c r="C853" s="93"/>
      <c r="D853" s="69">
        <v>1</v>
      </c>
      <c r="E853" s="68">
        <v>0.3</v>
      </c>
      <c r="F853" s="68">
        <v>0.3</v>
      </c>
      <c r="G853" s="68">
        <f>1.6+5+3.6-0.5</f>
        <v>9.6999999999999993</v>
      </c>
      <c r="H853" s="68">
        <f t="shared" si="63"/>
        <v>0.87299999999999989</v>
      </c>
      <c r="I853" s="68"/>
      <c r="J853" s="114"/>
      <c r="K853" s="117"/>
      <c r="M853" s="134"/>
      <c r="N853" s="134"/>
      <c r="O853" s="133"/>
    </row>
    <row r="854" spans="1:15" ht="12.75" customHeight="1">
      <c r="A854" s="118"/>
      <c r="B854" s="94" t="s">
        <v>504</v>
      </c>
      <c r="C854" s="93"/>
      <c r="D854" s="69">
        <v>1</v>
      </c>
      <c r="E854" s="68">
        <v>0.3</v>
      </c>
      <c r="F854" s="68">
        <v>0.3</v>
      </c>
      <c r="G854" s="68">
        <f>1.6+5+3.6-0.5</f>
        <v>9.6999999999999993</v>
      </c>
      <c r="H854" s="68">
        <f t="shared" si="63"/>
        <v>0.87299999999999989</v>
      </c>
      <c r="I854" s="68"/>
      <c r="J854" s="114"/>
      <c r="K854" s="117"/>
      <c r="M854" s="134"/>
      <c r="N854" s="134"/>
      <c r="O854" s="133"/>
    </row>
    <row r="855" spans="1:15" ht="12.75" customHeight="1">
      <c r="A855" s="118"/>
      <c r="B855" s="161" t="s">
        <v>421</v>
      </c>
      <c r="C855" s="93"/>
      <c r="D855" s="69">
        <v>1</v>
      </c>
      <c r="E855" s="68">
        <v>0.3</v>
      </c>
      <c r="F855" s="68">
        <v>0.3</v>
      </c>
      <c r="G855" s="68">
        <f>1.6+5+3.6-0.5</f>
        <v>9.6999999999999993</v>
      </c>
      <c r="H855" s="68">
        <f t="shared" si="63"/>
        <v>0.87299999999999989</v>
      </c>
      <c r="I855" s="68"/>
      <c r="J855" s="114"/>
      <c r="K855" s="117"/>
      <c r="M855" s="134"/>
      <c r="N855" s="134"/>
      <c r="O855" s="133"/>
    </row>
    <row r="856" spans="1:15" ht="12.75" customHeight="1">
      <c r="A856" s="115"/>
      <c r="B856" s="231" t="s">
        <v>505</v>
      </c>
      <c r="C856" s="140"/>
      <c r="D856" s="71">
        <v>1</v>
      </c>
      <c r="E856" s="70">
        <v>0.3</v>
      </c>
      <c r="F856" s="70">
        <v>0.3</v>
      </c>
      <c r="G856" s="70">
        <f>1.65+5+3.6-0.5</f>
        <v>9.75</v>
      </c>
      <c r="H856" s="70">
        <f t="shared" si="63"/>
        <v>0.87749999999999995</v>
      </c>
      <c r="I856" s="70"/>
      <c r="J856" s="141"/>
      <c r="K856" s="113"/>
      <c r="M856" s="134"/>
      <c r="N856" s="134"/>
      <c r="O856" s="133"/>
    </row>
    <row r="857" spans="1:15" ht="12.75" customHeight="1">
      <c r="A857" s="152"/>
      <c r="B857" s="156"/>
      <c r="C857" s="153"/>
      <c r="D857" s="49"/>
      <c r="E857" s="48"/>
      <c r="F857" s="48"/>
      <c r="G857" s="48"/>
      <c r="H857" s="588" t="s">
        <v>765</v>
      </c>
      <c r="I857" s="588"/>
      <c r="J857" s="588"/>
      <c r="K857" s="120">
        <v>114.54</v>
      </c>
      <c r="M857" s="134"/>
      <c r="N857" s="134"/>
      <c r="O857" s="133"/>
    </row>
    <row r="858" spans="1:15" ht="12.75" customHeight="1">
      <c r="A858" s="152"/>
      <c r="B858" s="156"/>
      <c r="C858" s="153"/>
      <c r="D858" s="49"/>
      <c r="E858" s="48"/>
      <c r="F858" s="48"/>
      <c r="G858" s="48"/>
      <c r="H858" s="588" t="s">
        <v>766</v>
      </c>
      <c r="I858" s="588"/>
      <c r="J858" s="588"/>
      <c r="K858" s="120">
        <f>K758-K857</f>
        <v>20.086574525157559</v>
      </c>
      <c r="M858" s="134"/>
      <c r="N858" s="134"/>
      <c r="O858" s="133"/>
    </row>
    <row r="859" spans="1:15" ht="12.75" customHeight="1">
      <c r="A859" s="152"/>
      <c r="B859" s="156"/>
      <c r="C859" s="153"/>
      <c r="D859" s="49"/>
      <c r="E859" s="48"/>
      <c r="F859" s="48"/>
      <c r="G859" s="48"/>
      <c r="H859" s="48"/>
      <c r="I859" s="48"/>
      <c r="J859" s="154"/>
      <c r="K859" s="155"/>
      <c r="M859" s="134"/>
      <c r="N859" s="134"/>
      <c r="O859" s="133"/>
    </row>
    <row r="860" spans="1:15" ht="12.75" customHeight="1" thickBot="1">
      <c r="A860" s="272"/>
      <c r="B860" s="273"/>
      <c r="C860" s="274"/>
      <c r="D860" s="275"/>
      <c r="E860" s="276"/>
      <c r="F860" s="276"/>
      <c r="G860" s="276"/>
      <c r="H860" s="276"/>
      <c r="I860" s="276"/>
      <c r="J860" s="277"/>
      <c r="K860" s="278"/>
      <c r="M860" s="134"/>
      <c r="N860" s="134"/>
      <c r="O860" s="133"/>
    </row>
    <row r="861" spans="1:15" ht="12.75" customHeight="1" thickTop="1">
      <c r="A861" s="91"/>
      <c r="B861" s="90"/>
      <c r="C861" s="90"/>
      <c r="D861" s="90"/>
      <c r="E861" s="90"/>
      <c r="F861" s="90"/>
      <c r="G861" s="90"/>
      <c r="H861" s="90"/>
      <c r="I861" s="90"/>
      <c r="J861" s="90"/>
      <c r="K861" s="89"/>
      <c r="M861" s="134"/>
      <c r="N861" s="134"/>
      <c r="O861" s="133"/>
    </row>
    <row r="862" spans="1:15" ht="18" customHeight="1">
      <c r="A862" s="569" t="s">
        <v>29</v>
      </c>
      <c r="B862" s="570"/>
      <c r="C862" s="570"/>
      <c r="D862" s="570"/>
      <c r="E862" s="570"/>
      <c r="F862" s="570"/>
      <c r="G862" s="570"/>
      <c r="H862" s="570"/>
      <c r="I862" s="570"/>
      <c r="J862" s="570"/>
      <c r="K862" s="571"/>
      <c r="M862" s="134"/>
      <c r="N862" s="134"/>
      <c r="O862" s="133"/>
    </row>
    <row r="863" spans="1:15" ht="17.25" customHeight="1">
      <c r="A863" s="572" t="s">
        <v>69</v>
      </c>
      <c r="B863" s="573"/>
      <c r="C863" s="573"/>
      <c r="D863" s="573"/>
      <c r="E863" s="573"/>
      <c r="F863" s="573"/>
      <c r="G863" s="573"/>
      <c r="H863" s="573"/>
      <c r="I863" s="573"/>
      <c r="J863" s="573"/>
      <c r="K863" s="574"/>
      <c r="M863" s="134"/>
      <c r="N863" s="134"/>
      <c r="O863" s="133"/>
    </row>
    <row r="864" spans="1:15" ht="12.75" customHeight="1">
      <c r="A864" s="88"/>
      <c r="B864" s="85"/>
      <c r="C864" s="85"/>
      <c r="D864" s="85"/>
      <c r="E864" s="85"/>
      <c r="F864" s="85"/>
      <c r="G864" s="85"/>
      <c r="H864" s="85"/>
      <c r="I864" s="85"/>
      <c r="J864" s="85"/>
      <c r="K864" s="87"/>
      <c r="M864" s="134"/>
      <c r="N864" s="134"/>
      <c r="O864" s="133"/>
    </row>
    <row r="865" spans="1:15" ht="7.5" customHeight="1">
      <c r="A865" s="55"/>
      <c r="B865" s="86"/>
      <c r="C865" s="86"/>
      <c r="D865" s="86"/>
      <c r="E865" s="86"/>
      <c r="F865" s="86"/>
      <c r="G865" s="86"/>
      <c r="H865" s="86"/>
      <c r="I865" s="86"/>
      <c r="J865" s="86"/>
      <c r="K865" s="81"/>
      <c r="M865" s="134"/>
      <c r="N865" s="134"/>
      <c r="O865" s="133"/>
    </row>
    <row r="866" spans="1:15" ht="15.75" customHeight="1">
      <c r="A866" s="575" t="s">
        <v>68</v>
      </c>
      <c r="B866" s="576"/>
      <c r="C866" s="576"/>
      <c r="D866" s="576"/>
      <c r="E866" s="576"/>
      <c r="F866" s="576"/>
      <c r="G866" s="576"/>
      <c r="H866" s="576"/>
      <c r="I866" s="576"/>
      <c r="J866" s="576"/>
      <c r="K866" s="577"/>
      <c r="M866" s="134"/>
      <c r="N866" s="134"/>
      <c r="O866" s="133"/>
    </row>
    <row r="867" spans="1:15" ht="5.25" customHeight="1">
      <c r="A867" s="55"/>
      <c r="B867" s="86"/>
      <c r="C867" s="86"/>
      <c r="D867" s="86"/>
      <c r="E867" s="86"/>
      <c r="F867" s="86"/>
      <c r="G867" s="86"/>
      <c r="H867" s="86"/>
      <c r="I867" s="86"/>
      <c r="J867" s="85"/>
      <c r="K867" s="81"/>
      <c r="M867" s="134"/>
      <c r="N867" s="134"/>
      <c r="O867" s="133"/>
    </row>
    <row r="868" spans="1:15" ht="12.75" customHeight="1">
      <c r="A868" s="84"/>
      <c r="B868" s="83" t="s">
        <v>11</v>
      </c>
      <c r="C868" s="578" t="s">
        <v>361</v>
      </c>
      <c r="D868" s="579"/>
      <c r="E868" s="579"/>
      <c r="F868" s="579"/>
      <c r="G868" s="579"/>
      <c r="H868" s="579"/>
      <c r="I868" s="579"/>
      <c r="J868" s="580"/>
      <c r="K868" s="81"/>
      <c r="M868" s="134"/>
      <c r="N868" s="134"/>
      <c r="O868" s="133"/>
    </row>
    <row r="869" spans="1:15" ht="6" customHeight="1">
      <c r="A869" s="80"/>
      <c r="K869" s="81"/>
      <c r="M869" s="134"/>
      <c r="N869" s="134"/>
      <c r="O869" s="133"/>
    </row>
    <row r="870" spans="1:15" ht="12.75" customHeight="1">
      <c r="A870" s="80"/>
      <c r="B870" s="82" t="s">
        <v>67</v>
      </c>
      <c r="C870" s="581" t="s">
        <v>66</v>
      </c>
      <c r="D870" s="582"/>
      <c r="E870" s="582"/>
      <c r="F870" s="582"/>
      <c r="G870" s="582"/>
      <c r="H870" s="582"/>
      <c r="I870" s="582"/>
      <c r="J870" s="583"/>
      <c r="K870" s="81"/>
      <c r="M870" s="134"/>
      <c r="N870" s="134"/>
      <c r="O870" s="133"/>
    </row>
    <row r="871" spans="1:15" ht="6.75" customHeight="1">
      <c r="A871" s="80"/>
      <c r="B871" s="79"/>
      <c r="D871" s="78"/>
      <c r="E871" s="78"/>
      <c r="F871" s="78"/>
      <c r="G871" s="78"/>
      <c r="H871" s="78"/>
      <c r="I871" s="78"/>
      <c r="K871" s="77"/>
      <c r="M871" s="134"/>
      <c r="N871" s="134"/>
      <c r="O871" s="133"/>
    </row>
    <row r="872" spans="1:15" ht="12.75" customHeight="1">
      <c r="A872" s="584" t="s">
        <v>84</v>
      </c>
      <c r="B872" s="585" t="s">
        <v>83</v>
      </c>
      <c r="C872" s="585" t="s">
        <v>82</v>
      </c>
      <c r="D872" s="585" t="s">
        <v>81</v>
      </c>
      <c r="E872" s="564" t="s">
        <v>80</v>
      </c>
      <c r="F872" s="564"/>
      <c r="G872" s="564"/>
      <c r="H872" s="564" t="s">
        <v>79</v>
      </c>
      <c r="I872" s="564"/>
      <c r="J872" s="564"/>
      <c r="K872" s="565" t="s">
        <v>58</v>
      </c>
      <c r="M872" s="134"/>
      <c r="N872" s="134"/>
      <c r="O872" s="133"/>
    </row>
    <row r="873" spans="1:15" ht="12.75" customHeight="1">
      <c r="A873" s="584"/>
      <c r="B873" s="585"/>
      <c r="C873" s="585"/>
      <c r="D873" s="585"/>
      <c r="E873" s="125" t="s">
        <v>78</v>
      </c>
      <c r="F873" s="125" t="s">
        <v>77</v>
      </c>
      <c r="G873" s="125" t="s">
        <v>76</v>
      </c>
      <c r="H873" s="125" t="s">
        <v>75</v>
      </c>
      <c r="I873" s="125" t="s">
        <v>74</v>
      </c>
      <c r="J873" s="125" t="s">
        <v>73</v>
      </c>
      <c r="K873" s="565"/>
      <c r="M873" s="134"/>
      <c r="N873" s="134"/>
      <c r="O873" s="133"/>
    </row>
    <row r="874" spans="1:15" ht="12.75" customHeight="1">
      <c r="A874" s="584"/>
      <c r="B874" s="585"/>
      <c r="C874" s="585"/>
      <c r="D874" s="585"/>
      <c r="E874" s="125" t="s">
        <v>70</v>
      </c>
      <c r="F874" s="125" t="s">
        <v>70</v>
      </c>
      <c r="G874" s="125" t="s">
        <v>70</v>
      </c>
      <c r="H874" s="125" t="s">
        <v>72</v>
      </c>
      <c r="I874" s="125" t="s">
        <v>71</v>
      </c>
      <c r="J874" s="125" t="s">
        <v>70</v>
      </c>
      <c r="K874" s="565"/>
      <c r="M874" s="134"/>
      <c r="N874" s="134"/>
      <c r="O874" s="133"/>
    </row>
    <row r="875" spans="1:15" ht="12.75" customHeight="1">
      <c r="A875" s="66">
        <v>12</v>
      </c>
      <c r="B875" s="65" t="s">
        <v>123</v>
      </c>
      <c r="C875" s="64" t="s">
        <v>48</v>
      </c>
      <c r="D875" s="76"/>
      <c r="E875" s="75"/>
      <c r="F875" s="75"/>
      <c r="G875" s="75"/>
      <c r="H875" s="75"/>
      <c r="I875" s="75"/>
      <c r="J875" s="74"/>
      <c r="K875" s="63">
        <f>SUM(H876:H919)+SUM(H935:H978)+SUM(H994:H1030)</f>
        <v>85.261299999999977</v>
      </c>
      <c r="M875" s="134"/>
      <c r="N875" s="134"/>
      <c r="O875" s="133"/>
    </row>
    <row r="876" spans="1:15" ht="12.75" customHeight="1">
      <c r="A876" s="108"/>
      <c r="B876" s="236" t="s">
        <v>193</v>
      </c>
      <c r="C876" s="104"/>
      <c r="D876" s="73">
        <v>1</v>
      </c>
      <c r="E876" s="72">
        <v>0.25</v>
      </c>
      <c r="F876" s="72">
        <v>0.5</v>
      </c>
      <c r="G876" s="72">
        <v>4.7</v>
      </c>
      <c r="H876" s="72">
        <f>PRODUCT(D876:G876)</f>
        <v>0.58750000000000002</v>
      </c>
      <c r="I876" s="72"/>
      <c r="J876" s="124"/>
      <c r="K876" s="107"/>
      <c r="M876" s="134"/>
      <c r="N876" s="134"/>
      <c r="O876" s="133"/>
    </row>
    <row r="877" spans="1:15" ht="12.75" customHeight="1">
      <c r="A877" s="118"/>
      <c r="B877" s="237" t="s">
        <v>194</v>
      </c>
      <c r="C877" s="93"/>
      <c r="D877" s="69">
        <v>1</v>
      </c>
      <c r="E877" s="68">
        <v>0.25</v>
      </c>
      <c r="F877" s="68">
        <v>0.5</v>
      </c>
      <c r="G877" s="68">
        <v>4.7</v>
      </c>
      <c r="H877" s="68">
        <f t="shared" ref="H877:H999" si="64">PRODUCT(D877:G877)</f>
        <v>0.58750000000000002</v>
      </c>
      <c r="I877" s="68"/>
      <c r="J877" s="114"/>
      <c r="K877" s="117"/>
      <c r="M877" s="134"/>
      <c r="N877" s="134"/>
      <c r="O877" s="133"/>
    </row>
    <row r="878" spans="1:15" ht="12.75" customHeight="1">
      <c r="A878" s="118"/>
      <c r="B878" s="237" t="s">
        <v>195</v>
      </c>
      <c r="C878" s="93"/>
      <c r="D878" s="69">
        <v>1</v>
      </c>
      <c r="E878" s="68">
        <v>0.25</v>
      </c>
      <c r="F878" s="68">
        <v>0.5</v>
      </c>
      <c r="G878" s="68">
        <v>4.7</v>
      </c>
      <c r="H878" s="68">
        <f t="shared" si="64"/>
        <v>0.58750000000000002</v>
      </c>
      <c r="I878" s="68"/>
      <c r="J878" s="114"/>
      <c r="K878" s="117"/>
      <c r="M878" s="134"/>
      <c r="N878" s="134"/>
      <c r="O878" s="133"/>
    </row>
    <row r="879" spans="1:15" ht="12.75" customHeight="1">
      <c r="A879" s="118"/>
      <c r="B879" s="237" t="s">
        <v>196</v>
      </c>
      <c r="C879" s="93"/>
      <c r="D879" s="69">
        <v>1</v>
      </c>
      <c r="E879" s="68">
        <v>0.25</v>
      </c>
      <c r="F879" s="68">
        <v>0.5</v>
      </c>
      <c r="G879" s="68">
        <v>4.7</v>
      </c>
      <c r="H879" s="68">
        <f t="shared" si="64"/>
        <v>0.58750000000000002</v>
      </c>
      <c r="I879" s="68"/>
      <c r="J879" s="114"/>
      <c r="K879" s="117"/>
      <c r="M879" s="134"/>
      <c r="N879" s="134"/>
      <c r="O879" s="133"/>
    </row>
    <row r="880" spans="1:15" ht="12.75" customHeight="1">
      <c r="A880" s="118"/>
      <c r="B880" s="237" t="s">
        <v>197</v>
      </c>
      <c r="C880" s="93"/>
      <c r="D880" s="69">
        <v>1</v>
      </c>
      <c r="E880" s="68">
        <v>0.25</v>
      </c>
      <c r="F880" s="68">
        <v>0.5</v>
      </c>
      <c r="G880" s="68">
        <v>4.7</v>
      </c>
      <c r="H880" s="68">
        <f t="shared" si="64"/>
        <v>0.58750000000000002</v>
      </c>
      <c r="I880" s="68"/>
      <c r="J880" s="114"/>
      <c r="K880" s="117"/>
      <c r="M880" s="134"/>
      <c r="N880" s="134"/>
      <c r="O880" s="133"/>
    </row>
    <row r="881" spans="1:15" ht="12.75" customHeight="1">
      <c r="A881" s="115"/>
      <c r="B881" s="231" t="s">
        <v>198</v>
      </c>
      <c r="C881" s="140"/>
      <c r="D881" s="71">
        <v>1</v>
      </c>
      <c r="E881" s="70">
        <v>0.25</v>
      </c>
      <c r="F881" s="70">
        <v>0.5</v>
      </c>
      <c r="G881" s="70">
        <v>4.7</v>
      </c>
      <c r="H881" s="70">
        <f t="shared" si="64"/>
        <v>0.58750000000000002</v>
      </c>
      <c r="I881" s="70"/>
      <c r="J881" s="141"/>
      <c r="K881" s="113"/>
      <c r="M881" s="134"/>
      <c r="N881" s="134"/>
      <c r="O881" s="133"/>
    </row>
    <row r="882" spans="1:15" ht="12.75" customHeight="1">
      <c r="A882" s="108"/>
      <c r="B882" s="236" t="s">
        <v>199</v>
      </c>
      <c r="C882" s="104"/>
      <c r="D882" s="73">
        <v>1</v>
      </c>
      <c r="E882" s="72">
        <v>0.25</v>
      </c>
      <c r="F882" s="72">
        <v>0.5</v>
      </c>
      <c r="G882" s="72">
        <v>4.68</v>
      </c>
      <c r="H882" s="72">
        <f t="shared" si="64"/>
        <v>0.58499999999999996</v>
      </c>
      <c r="I882" s="72"/>
      <c r="J882" s="124"/>
      <c r="K882" s="107"/>
      <c r="M882" s="134"/>
      <c r="N882" s="134"/>
      <c r="O882" s="133"/>
    </row>
    <row r="883" spans="1:15" ht="12.75" customHeight="1">
      <c r="A883" s="118"/>
      <c r="B883" s="237" t="s">
        <v>200</v>
      </c>
      <c r="C883" s="93"/>
      <c r="D883" s="69">
        <v>1</v>
      </c>
      <c r="E883" s="68">
        <v>0.25</v>
      </c>
      <c r="F883" s="68">
        <v>0.5</v>
      </c>
      <c r="G883" s="68">
        <v>4.6500000000000004</v>
      </c>
      <c r="H883" s="68">
        <f t="shared" si="64"/>
        <v>0.58125000000000004</v>
      </c>
      <c r="I883" s="68"/>
      <c r="J883" s="114"/>
      <c r="K883" s="117"/>
      <c r="M883" s="134"/>
      <c r="N883" s="134"/>
      <c r="O883" s="133"/>
    </row>
    <row r="884" spans="1:15" ht="12.75" customHeight="1">
      <c r="A884" s="115"/>
      <c r="B884" s="231" t="s">
        <v>201</v>
      </c>
      <c r="C884" s="140"/>
      <c r="D884" s="71">
        <v>1</v>
      </c>
      <c r="E884" s="70">
        <v>0.25</v>
      </c>
      <c r="F884" s="70">
        <v>0.5</v>
      </c>
      <c r="G884" s="70">
        <v>4.68</v>
      </c>
      <c r="H884" s="70">
        <f t="shared" si="64"/>
        <v>0.58499999999999996</v>
      </c>
      <c r="I884" s="70"/>
      <c r="J884" s="141"/>
      <c r="K884" s="113"/>
      <c r="M884" s="134"/>
      <c r="N884" s="134"/>
      <c r="O884" s="133"/>
    </row>
    <row r="885" spans="1:15" ht="12.75" customHeight="1">
      <c r="A885" s="108"/>
      <c r="B885" s="236" t="s">
        <v>506</v>
      </c>
      <c r="C885" s="104"/>
      <c r="D885" s="73">
        <v>1</v>
      </c>
      <c r="E885" s="72">
        <v>0.3</v>
      </c>
      <c r="F885" s="72">
        <v>0.95</v>
      </c>
      <c r="G885" s="72">
        <v>9.1</v>
      </c>
      <c r="H885" s="72">
        <f t="shared" si="64"/>
        <v>2.5934999999999997</v>
      </c>
      <c r="I885" s="72"/>
      <c r="J885" s="124"/>
      <c r="K885" s="107"/>
      <c r="M885" s="134"/>
      <c r="N885" s="134"/>
      <c r="O885" s="133"/>
    </row>
    <row r="886" spans="1:15" ht="12.75" customHeight="1">
      <c r="A886" s="115"/>
      <c r="B886" s="231" t="s">
        <v>507</v>
      </c>
      <c r="C886" s="140"/>
      <c r="D886" s="71">
        <v>1</v>
      </c>
      <c r="E886" s="70">
        <v>0.3</v>
      </c>
      <c r="F886" s="70">
        <v>0.95</v>
      </c>
      <c r="G886" s="70">
        <v>9.1</v>
      </c>
      <c r="H886" s="70">
        <f t="shared" si="64"/>
        <v>2.5934999999999997</v>
      </c>
      <c r="I886" s="70"/>
      <c r="J886" s="141"/>
      <c r="K886" s="113"/>
      <c r="M886" s="134"/>
      <c r="N886" s="134"/>
      <c r="O886" s="133"/>
    </row>
    <row r="887" spans="1:15" ht="12.75" customHeight="1">
      <c r="A887" s="239"/>
      <c r="B887" s="240" t="s">
        <v>444</v>
      </c>
      <c r="C887" s="241"/>
      <c r="D887" s="242">
        <v>1</v>
      </c>
      <c r="E887" s="243">
        <v>0.25</v>
      </c>
      <c r="F887" s="243">
        <v>0.5</v>
      </c>
      <c r="G887" s="243">
        <v>4.7</v>
      </c>
      <c r="H887" s="243">
        <f t="shared" si="64"/>
        <v>0.58750000000000002</v>
      </c>
      <c r="I887" s="243"/>
      <c r="J887" s="244"/>
      <c r="K887" s="245"/>
      <c r="M887" s="134"/>
      <c r="N887" s="134"/>
      <c r="O887" s="133"/>
    </row>
    <row r="888" spans="1:15" ht="12.75" customHeight="1">
      <c r="A888" s="108"/>
      <c r="B888" s="236" t="s">
        <v>508</v>
      </c>
      <c r="C888" s="104"/>
      <c r="D888" s="73">
        <v>1</v>
      </c>
      <c r="E888" s="72">
        <v>0.3</v>
      </c>
      <c r="F888" s="72">
        <v>0.95</v>
      </c>
      <c r="G888" s="72">
        <v>9.18</v>
      </c>
      <c r="H888" s="72">
        <f t="shared" si="64"/>
        <v>2.6162999999999998</v>
      </c>
      <c r="I888" s="72"/>
      <c r="J888" s="124"/>
      <c r="K888" s="107"/>
      <c r="M888" s="134"/>
      <c r="N888" s="134"/>
      <c r="O888" s="133"/>
    </row>
    <row r="889" spans="1:15" ht="12.75" customHeight="1">
      <c r="A889" s="115"/>
      <c r="B889" s="231" t="s">
        <v>509</v>
      </c>
      <c r="C889" s="140"/>
      <c r="D889" s="71">
        <v>1</v>
      </c>
      <c r="E889" s="70">
        <v>0.3</v>
      </c>
      <c r="F889" s="70">
        <v>0.95</v>
      </c>
      <c r="G889" s="70">
        <v>9.1</v>
      </c>
      <c r="H889" s="70">
        <f t="shared" si="64"/>
        <v>2.5934999999999997</v>
      </c>
      <c r="I889" s="70"/>
      <c r="J889" s="141"/>
      <c r="K889" s="113"/>
      <c r="M889" s="134"/>
      <c r="N889" s="134"/>
      <c r="O889" s="133"/>
    </row>
    <row r="890" spans="1:15" ht="12.75" customHeight="1">
      <c r="A890" s="108"/>
      <c r="B890" s="236" t="s">
        <v>510</v>
      </c>
      <c r="C890" s="104"/>
      <c r="D890" s="73">
        <v>1</v>
      </c>
      <c r="E890" s="72">
        <v>0.25</v>
      </c>
      <c r="F890" s="72">
        <v>0.5</v>
      </c>
      <c r="G890" s="72">
        <v>4.5999999999999996</v>
      </c>
      <c r="H890" s="72">
        <f t="shared" si="64"/>
        <v>0.57499999999999996</v>
      </c>
      <c r="I890" s="72"/>
      <c r="J890" s="124"/>
      <c r="K890" s="107"/>
      <c r="M890" s="134"/>
      <c r="N890" s="134"/>
      <c r="O890" s="133"/>
    </row>
    <row r="891" spans="1:15" ht="12.75" customHeight="1">
      <c r="A891" s="118"/>
      <c r="B891" s="246" t="s">
        <v>511</v>
      </c>
      <c r="C891" s="93"/>
      <c r="D891" s="69">
        <v>1</v>
      </c>
      <c r="E891" s="68">
        <v>0.25</v>
      </c>
      <c r="F891" s="68">
        <v>0.5</v>
      </c>
      <c r="G891" s="68">
        <v>4.5999999999999996</v>
      </c>
      <c r="H891" s="68">
        <f t="shared" si="64"/>
        <v>0.57499999999999996</v>
      </c>
      <c r="I891" s="68"/>
      <c r="J891" s="114"/>
      <c r="K891" s="117"/>
      <c r="M891" s="134"/>
      <c r="N891" s="134"/>
      <c r="O891" s="133"/>
    </row>
    <row r="892" spans="1:15" ht="12.75" customHeight="1">
      <c r="A892" s="115"/>
      <c r="B892" s="233" t="s">
        <v>512</v>
      </c>
      <c r="C892" s="140"/>
      <c r="D892" s="71">
        <v>1</v>
      </c>
      <c r="E892" s="70">
        <v>0.25</v>
      </c>
      <c r="F892" s="70">
        <v>0.5</v>
      </c>
      <c r="G892" s="70">
        <v>4.5999999999999996</v>
      </c>
      <c r="H892" s="70">
        <f t="shared" si="64"/>
        <v>0.57499999999999996</v>
      </c>
      <c r="I892" s="70"/>
      <c r="J892" s="141"/>
      <c r="K892" s="113"/>
      <c r="M892" s="134"/>
      <c r="N892" s="134"/>
      <c r="O892" s="133"/>
    </row>
    <row r="893" spans="1:15" ht="12.75" customHeight="1">
      <c r="A893" s="108"/>
      <c r="B893" s="236" t="s">
        <v>513</v>
      </c>
      <c r="C893" s="104"/>
      <c r="D893" s="73">
        <v>1</v>
      </c>
      <c r="E893" s="72">
        <v>0.3</v>
      </c>
      <c r="F893" s="72">
        <v>0.25</v>
      </c>
      <c r="G893" s="72">
        <v>4.7</v>
      </c>
      <c r="H893" s="72">
        <f t="shared" si="64"/>
        <v>0.35249999999999998</v>
      </c>
      <c r="I893" s="72"/>
      <c r="J893" s="124"/>
      <c r="K893" s="107"/>
      <c r="M893" s="134"/>
      <c r="N893" s="134"/>
      <c r="O893" s="133"/>
    </row>
    <row r="894" spans="1:15" ht="12.75" customHeight="1">
      <c r="A894" s="115"/>
      <c r="B894" s="231" t="s">
        <v>514</v>
      </c>
      <c r="C894" s="140"/>
      <c r="D894" s="71">
        <v>1</v>
      </c>
      <c r="E894" s="70">
        <v>0.3</v>
      </c>
      <c r="F894" s="70">
        <v>0.25</v>
      </c>
      <c r="G894" s="70">
        <v>4.7</v>
      </c>
      <c r="H894" s="70">
        <f t="shared" si="64"/>
        <v>0.35249999999999998</v>
      </c>
      <c r="I894" s="70"/>
      <c r="J894" s="141"/>
      <c r="K894" s="113"/>
      <c r="M894" s="134"/>
      <c r="N894" s="134"/>
      <c r="O894" s="133"/>
    </row>
    <row r="895" spans="1:15" ht="12.75" customHeight="1">
      <c r="A895" s="108"/>
      <c r="B895" s="236" t="s">
        <v>515</v>
      </c>
      <c r="C895" s="104"/>
      <c r="D895" s="73">
        <v>1</v>
      </c>
      <c r="E895" s="72">
        <v>0.25</v>
      </c>
      <c r="F895" s="72">
        <v>0.5</v>
      </c>
      <c r="G895" s="72">
        <v>2.15</v>
      </c>
      <c r="H895" s="72">
        <f t="shared" si="64"/>
        <v>0.26874999999999999</v>
      </c>
      <c r="I895" s="72"/>
      <c r="J895" s="124"/>
      <c r="K895" s="107"/>
      <c r="M895" s="134"/>
      <c r="N895" s="134"/>
      <c r="O895" s="133"/>
    </row>
    <row r="896" spans="1:15" ht="12.75" customHeight="1">
      <c r="A896" s="118"/>
      <c r="B896" s="246" t="s">
        <v>516</v>
      </c>
      <c r="C896" s="93"/>
      <c r="D896" s="69">
        <v>1</v>
      </c>
      <c r="E896" s="109">
        <v>0.25</v>
      </c>
      <c r="F896" s="109">
        <v>0.5</v>
      </c>
      <c r="G896" s="68">
        <v>4.5999999999999996</v>
      </c>
      <c r="H896" s="68">
        <f t="shared" si="64"/>
        <v>0.57499999999999996</v>
      </c>
      <c r="I896" s="68"/>
      <c r="J896" s="114"/>
      <c r="K896" s="117"/>
      <c r="M896" s="134"/>
      <c r="N896" s="134"/>
      <c r="O896" s="133"/>
    </row>
    <row r="897" spans="1:15" ht="12.75" customHeight="1">
      <c r="A897" s="118"/>
      <c r="B897" s="246" t="s">
        <v>517</v>
      </c>
      <c r="C897" s="93"/>
      <c r="D897" s="69">
        <v>1</v>
      </c>
      <c r="E897" s="109">
        <v>0.25</v>
      </c>
      <c r="F897" s="109">
        <v>0.5</v>
      </c>
      <c r="G897" s="68">
        <v>2.0499999999999998</v>
      </c>
      <c r="H897" s="68">
        <f t="shared" si="64"/>
        <v>0.25624999999999998</v>
      </c>
      <c r="I897" s="68"/>
      <c r="J897" s="114"/>
      <c r="K897" s="117"/>
      <c r="M897" s="134"/>
      <c r="N897" s="134"/>
      <c r="O897" s="133"/>
    </row>
    <row r="898" spans="1:15" ht="12.75" customHeight="1">
      <c r="A898" s="118"/>
      <c r="B898" s="246" t="s">
        <v>518</v>
      </c>
      <c r="C898" s="93"/>
      <c r="D898" s="69">
        <v>1</v>
      </c>
      <c r="E898" s="109">
        <v>0.25</v>
      </c>
      <c r="F898" s="109">
        <v>0.5</v>
      </c>
      <c r="G898" s="68">
        <v>2.0499999999999998</v>
      </c>
      <c r="H898" s="68">
        <f t="shared" si="64"/>
        <v>0.25624999999999998</v>
      </c>
      <c r="I898" s="68"/>
      <c r="J898" s="114"/>
      <c r="K898" s="117"/>
      <c r="M898" s="134"/>
      <c r="N898" s="134"/>
      <c r="O898" s="133"/>
    </row>
    <row r="899" spans="1:15" ht="12.75" customHeight="1">
      <c r="A899" s="118"/>
      <c r="B899" s="246" t="s">
        <v>519</v>
      </c>
      <c r="C899" s="93"/>
      <c r="D899" s="69">
        <v>1</v>
      </c>
      <c r="E899" s="109">
        <v>0.25</v>
      </c>
      <c r="F899" s="109">
        <v>0.5</v>
      </c>
      <c r="G899" s="68">
        <v>4.6500000000000004</v>
      </c>
      <c r="H899" s="68">
        <f t="shared" si="64"/>
        <v>0.58125000000000004</v>
      </c>
      <c r="I899" s="68"/>
      <c r="J899" s="114"/>
      <c r="K899" s="117"/>
      <c r="M899" s="134"/>
      <c r="N899" s="134"/>
      <c r="O899" s="133"/>
    </row>
    <row r="900" spans="1:15" ht="12.75" customHeight="1">
      <c r="A900" s="115"/>
      <c r="B900" s="233" t="s">
        <v>520</v>
      </c>
      <c r="C900" s="140"/>
      <c r="D900" s="71">
        <v>1</v>
      </c>
      <c r="E900" s="170">
        <v>0.25</v>
      </c>
      <c r="F900" s="170">
        <v>0.5</v>
      </c>
      <c r="G900" s="70">
        <v>2.2000000000000002</v>
      </c>
      <c r="H900" s="70">
        <f t="shared" si="64"/>
        <v>0.27500000000000002</v>
      </c>
      <c r="I900" s="70"/>
      <c r="J900" s="141"/>
      <c r="K900" s="113"/>
      <c r="M900" s="134"/>
      <c r="N900" s="134"/>
      <c r="O900" s="133"/>
    </row>
    <row r="901" spans="1:15" ht="12.75" customHeight="1">
      <c r="A901" s="108"/>
      <c r="B901" s="236" t="s">
        <v>521</v>
      </c>
      <c r="C901" s="104"/>
      <c r="D901" s="73">
        <v>1</v>
      </c>
      <c r="E901" s="72">
        <v>0.3</v>
      </c>
      <c r="F901" s="72">
        <v>0.25</v>
      </c>
      <c r="G901" s="72">
        <v>4.7</v>
      </c>
      <c r="H901" s="72">
        <f t="shared" si="64"/>
        <v>0.35249999999999998</v>
      </c>
      <c r="I901" s="72"/>
      <c r="J901" s="124"/>
      <c r="K901" s="107"/>
      <c r="M901" s="134"/>
      <c r="N901" s="134"/>
      <c r="O901" s="133"/>
    </row>
    <row r="902" spans="1:15" ht="12.75" customHeight="1">
      <c r="A902" s="118"/>
      <c r="B902" s="246" t="s">
        <v>450</v>
      </c>
      <c r="C902" s="93"/>
      <c r="D902" s="69">
        <v>1</v>
      </c>
      <c r="E902" s="109">
        <v>0.3</v>
      </c>
      <c r="F902" s="109">
        <v>0.25</v>
      </c>
      <c r="G902" s="68">
        <v>4.7</v>
      </c>
      <c r="H902" s="68">
        <f t="shared" si="64"/>
        <v>0.35249999999999998</v>
      </c>
      <c r="I902" s="68"/>
      <c r="J902" s="114"/>
      <c r="K902" s="117"/>
      <c r="M902" s="134"/>
      <c r="N902" s="134"/>
      <c r="O902" s="133"/>
    </row>
    <row r="903" spans="1:15" ht="12.75" customHeight="1">
      <c r="A903" s="115"/>
      <c r="B903" s="233" t="s">
        <v>522</v>
      </c>
      <c r="C903" s="140"/>
      <c r="D903" s="71">
        <v>1</v>
      </c>
      <c r="E903" s="170">
        <v>0.3</v>
      </c>
      <c r="F903" s="170">
        <v>0.25</v>
      </c>
      <c r="G903" s="70">
        <v>4.7300000000000004</v>
      </c>
      <c r="H903" s="70">
        <f t="shared" si="64"/>
        <v>0.35475000000000001</v>
      </c>
      <c r="I903" s="70"/>
      <c r="J903" s="141"/>
      <c r="K903" s="113"/>
      <c r="M903" s="134"/>
      <c r="N903" s="134"/>
      <c r="O903" s="133"/>
    </row>
    <row r="904" spans="1:15" ht="12.75" customHeight="1">
      <c r="A904" s="108"/>
      <c r="B904" s="236" t="s">
        <v>523</v>
      </c>
      <c r="C904" s="104"/>
      <c r="D904" s="73">
        <v>1</v>
      </c>
      <c r="E904" s="72">
        <v>0.3</v>
      </c>
      <c r="F904" s="72">
        <v>0.95</v>
      </c>
      <c r="G904" s="72">
        <v>9.1</v>
      </c>
      <c r="H904" s="72">
        <f t="shared" si="64"/>
        <v>2.5934999999999997</v>
      </c>
      <c r="I904" s="72"/>
      <c r="J904" s="124"/>
      <c r="K904" s="107"/>
      <c r="M904" s="134"/>
      <c r="N904" s="134"/>
      <c r="O904" s="133"/>
    </row>
    <row r="905" spans="1:15" ht="12.75" customHeight="1">
      <c r="A905" s="118"/>
      <c r="B905" s="246" t="s">
        <v>524</v>
      </c>
      <c r="C905" s="93"/>
      <c r="D905" s="69">
        <v>1</v>
      </c>
      <c r="E905" s="68">
        <v>0.3</v>
      </c>
      <c r="F905" s="247">
        <v>0.75</v>
      </c>
      <c r="G905" s="68">
        <v>4.45</v>
      </c>
      <c r="H905" s="68">
        <f t="shared" si="64"/>
        <v>1.00125</v>
      </c>
      <c r="I905" s="68"/>
      <c r="J905" s="114"/>
      <c r="K905" s="117"/>
      <c r="M905" s="134"/>
      <c r="N905" s="134"/>
      <c r="O905" s="133"/>
    </row>
    <row r="906" spans="1:15" ht="12.75" customHeight="1">
      <c r="A906" s="118"/>
      <c r="B906" s="246" t="s">
        <v>525</v>
      </c>
      <c r="C906" s="93"/>
      <c r="D906" s="69">
        <v>1</v>
      </c>
      <c r="E906" s="68">
        <v>0.25</v>
      </c>
      <c r="F906" s="68">
        <v>0.5</v>
      </c>
      <c r="G906" s="68">
        <v>4.5999999999999996</v>
      </c>
      <c r="H906" s="68">
        <f t="shared" si="64"/>
        <v>0.57499999999999996</v>
      </c>
      <c r="I906" s="68"/>
      <c r="J906" s="114"/>
      <c r="K906" s="117"/>
      <c r="M906" s="134"/>
      <c r="N906" s="134"/>
      <c r="O906" s="133"/>
    </row>
    <row r="907" spans="1:15" ht="12.75" customHeight="1">
      <c r="A907" s="118"/>
      <c r="B907" s="246" t="s">
        <v>526</v>
      </c>
      <c r="C907" s="93"/>
      <c r="D907" s="69">
        <v>1</v>
      </c>
      <c r="E907" s="68">
        <v>0.25</v>
      </c>
      <c r="F907" s="68">
        <v>0.5</v>
      </c>
      <c r="G907" s="68">
        <v>4.5999999999999996</v>
      </c>
      <c r="H907" s="68">
        <f t="shared" si="64"/>
        <v>0.57499999999999996</v>
      </c>
      <c r="I907" s="68"/>
      <c r="J907" s="114"/>
      <c r="K907" s="117"/>
      <c r="M907" s="134"/>
      <c r="N907" s="134"/>
      <c r="O907" s="133"/>
    </row>
    <row r="908" spans="1:15" ht="12.75" customHeight="1">
      <c r="A908" s="118"/>
      <c r="B908" s="246" t="s">
        <v>527</v>
      </c>
      <c r="C908" s="93"/>
      <c r="D908" s="69">
        <v>1</v>
      </c>
      <c r="E908" s="68">
        <v>0.25</v>
      </c>
      <c r="F908" s="68">
        <v>0.5</v>
      </c>
      <c r="G908" s="68">
        <v>4.5999999999999996</v>
      </c>
      <c r="H908" s="68">
        <f t="shared" si="64"/>
        <v>0.57499999999999996</v>
      </c>
      <c r="I908" s="68"/>
      <c r="J908" s="114"/>
      <c r="K908" s="117"/>
      <c r="M908" s="134"/>
      <c r="N908" s="134"/>
      <c r="O908" s="133"/>
    </row>
    <row r="909" spans="1:15" ht="12.75" customHeight="1">
      <c r="A909" s="118"/>
      <c r="B909" s="237" t="s">
        <v>528</v>
      </c>
      <c r="C909" s="93"/>
      <c r="D909" s="69">
        <v>1</v>
      </c>
      <c r="E909" s="68">
        <v>0.25</v>
      </c>
      <c r="F909" s="68">
        <v>0.5</v>
      </c>
      <c r="G909" s="68">
        <v>4.5999999999999996</v>
      </c>
      <c r="H909" s="68">
        <f t="shared" si="64"/>
        <v>0.57499999999999996</v>
      </c>
      <c r="I909" s="68"/>
      <c r="J909" s="114"/>
      <c r="K909" s="117"/>
      <c r="M909" s="134"/>
      <c r="N909" s="134"/>
      <c r="O909" s="133"/>
    </row>
    <row r="910" spans="1:15" ht="12.75" customHeight="1">
      <c r="A910" s="118"/>
      <c r="B910" s="246" t="s">
        <v>529</v>
      </c>
      <c r="C910" s="93"/>
      <c r="D910" s="69">
        <v>1</v>
      </c>
      <c r="E910" s="68">
        <v>0.25</v>
      </c>
      <c r="F910" s="68">
        <v>0.5</v>
      </c>
      <c r="G910" s="68">
        <v>2.1</v>
      </c>
      <c r="H910" s="68">
        <f t="shared" si="64"/>
        <v>0.26250000000000001</v>
      </c>
      <c r="I910" s="68"/>
      <c r="J910" s="114"/>
      <c r="K910" s="117"/>
      <c r="M910" s="134"/>
      <c r="N910" s="134"/>
      <c r="O910" s="133"/>
    </row>
    <row r="911" spans="1:15" ht="12.75" customHeight="1">
      <c r="A911" s="118"/>
      <c r="B911" s="246" t="s">
        <v>530</v>
      </c>
      <c r="C911" s="93"/>
      <c r="D911" s="69">
        <v>1</v>
      </c>
      <c r="E911" s="68">
        <v>0.25</v>
      </c>
      <c r="F911" s="68">
        <v>0.5</v>
      </c>
      <c r="G911" s="68">
        <v>4.6500000000000004</v>
      </c>
      <c r="H911" s="68">
        <f t="shared" si="64"/>
        <v>0.58125000000000004</v>
      </c>
      <c r="I911" s="68"/>
      <c r="J911" s="114"/>
      <c r="K911" s="117"/>
      <c r="M911" s="134"/>
      <c r="N911" s="134"/>
      <c r="O911" s="133"/>
    </row>
    <row r="912" spans="1:15" ht="12.75" customHeight="1">
      <c r="A912" s="115"/>
      <c r="B912" s="233" t="s">
        <v>531</v>
      </c>
      <c r="C912" s="140"/>
      <c r="D912" s="71">
        <v>1</v>
      </c>
      <c r="E912" s="70">
        <v>0.25</v>
      </c>
      <c r="F912" s="70">
        <v>0.5</v>
      </c>
      <c r="G912" s="70">
        <v>2.2000000000000002</v>
      </c>
      <c r="H912" s="70">
        <f t="shared" si="64"/>
        <v>0.27500000000000002</v>
      </c>
      <c r="I912" s="70"/>
      <c r="J912" s="141"/>
      <c r="K912" s="113"/>
      <c r="M912" s="134"/>
      <c r="N912" s="134"/>
      <c r="O912" s="133"/>
    </row>
    <row r="913" spans="1:15" ht="12.75" customHeight="1">
      <c r="A913" s="108"/>
      <c r="B913" s="236" t="s">
        <v>532</v>
      </c>
      <c r="C913" s="104"/>
      <c r="D913" s="73">
        <v>1</v>
      </c>
      <c r="E913" s="72">
        <v>0.3</v>
      </c>
      <c r="F913" s="72">
        <v>0.95</v>
      </c>
      <c r="G913" s="72">
        <v>9.1</v>
      </c>
      <c r="H913" s="72">
        <f t="shared" si="64"/>
        <v>2.5934999999999997</v>
      </c>
      <c r="I913" s="72"/>
      <c r="J913" s="124"/>
      <c r="K913" s="107"/>
      <c r="M913" s="134"/>
      <c r="N913" s="134"/>
      <c r="O913" s="133"/>
    </row>
    <row r="914" spans="1:15" ht="12.75" customHeight="1">
      <c r="A914" s="118"/>
      <c r="B914" s="246" t="s">
        <v>533</v>
      </c>
      <c r="C914" s="93"/>
      <c r="D914" s="69">
        <v>1</v>
      </c>
      <c r="E914" s="68">
        <v>0.25</v>
      </c>
      <c r="F914" s="68">
        <v>0.5</v>
      </c>
      <c r="G914" s="68">
        <v>4.6500000000000004</v>
      </c>
      <c r="H914" s="68">
        <f t="shared" si="64"/>
        <v>0.58125000000000004</v>
      </c>
      <c r="I914" s="68"/>
      <c r="J914" s="114"/>
      <c r="K914" s="117"/>
      <c r="M914" s="134"/>
      <c r="N914" s="134"/>
      <c r="O914" s="133"/>
    </row>
    <row r="915" spans="1:15" ht="12.75" customHeight="1">
      <c r="A915" s="115"/>
      <c r="B915" s="233" t="s">
        <v>534</v>
      </c>
      <c r="C915" s="140"/>
      <c r="D915" s="71">
        <v>1</v>
      </c>
      <c r="E915" s="70">
        <v>0.25</v>
      </c>
      <c r="F915" s="70">
        <v>0.5</v>
      </c>
      <c r="G915" s="70">
        <v>4.6500000000000004</v>
      </c>
      <c r="H915" s="70">
        <f t="shared" si="64"/>
        <v>0.58125000000000004</v>
      </c>
      <c r="I915" s="70"/>
      <c r="J915" s="141"/>
      <c r="K915" s="113"/>
      <c r="M915" s="134"/>
      <c r="N915" s="134"/>
      <c r="O915" s="133"/>
    </row>
    <row r="916" spans="1:15" ht="12.75" customHeight="1">
      <c r="A916" s="108"/>
      <c r="B916" s="236" t="s">
        <v>513</v>
      </c>
      <c r="C916" s="104"/>
      <c r="D916" s="73">
        <v>1</v>
      </c>
      <c r="E916" s="72">
        <v>0.25</v>
      </c>
      <c r="F916" s="72">
        <v>0.5</v>
      </c>
      <c r="G916" s="72">
        <v>4.62</v>
      </c>
      <c r="H916" s="72">
        <f t="shared" si="64"/>
        <v>0.57750000000000001</v>
      </c>
      <c r="I916" s="72"/>
      <c r="J916" s="124"/>
      <c r="K916" s="107"/>
      <c r="M916" s="134"/>
      <c r="N916" s="134"/>
      <c r="O916" s="133"/>
    </row>
    <row r="917" spans="1:15" ht="12.75" customHeight="1">
      <c r="A917" s="118"/>
      <c r="B917" s="246" t="s">
        <v>535</v>
      </c>
      <c r="C917" s="93"/>
      <c r="D917" s="110">
        <v>1</v>
      </c>
      <c r="E917" s="109">
        <v>0.25</v>
      </c>
      <c r="F917" s="109">
        <v>0.5</v>
      </c>
      <c r="G917" s="68">
        <v>4.5999999999999996</v>
      </c>
      <c r="H917" s="68">
        <f t="shared" si="64"/>
        <v>0.57499999999999996</v>
      </c>
      <c r="I917" s="68"/>
      <c r="J917" s="114"/>
      <c r="K917" s="117"/>
      <c r="M917" s="134"/>
      <c r="N917" s="134"/>
      <c r="O917" s="133"/>
    </row>
    <row r="918" spans="1:15" ht="12.75" customHeight="1">
      <c r="A918" s="290"/>
      <c r="B918" s="291" t="s">
        <v>536</v>
      </c>
      <c r="C918" s="292"/>
      <c r="D918" s="293">
        <v>1</v>
      </c>
      <c r="E918" s="294">
        <v>0.25</v>
      </c>
      <c r="F918" s="294">
        <v>0.6</v>
      </c>
      <c r="G918" s="247">
        <v>4.5999999999999996</v>
      </c>
      <c r="H918" s="247">
        <f t="shared" si="64"/>
        <v>0.69</v>
      </c>
      <c r="I918" s="247"/>
      <c r="J918" s="295"/>
      <c r="K918" s="296"/>
      <c r="M918" s="134"/>
      <c r="N918" s="134"/>
      <c r="O918" s="133"/>
    </row>
    <row r="919" spans="1:15" ht="12.75" customHeight="1" thickBot="1">
      <c r="A919" s="115"/>
      <c r="B919" s="231" t="s">
        <v>537</v>
      </c>
      <c r="C919" s="140"/>
      <c r="D919" s="71">
        <v>1</v>
      </c>
      <c r="E919" s="70">
        <v>0.25</v>
      </c>
      <c r="F919" s="70">
        <v>0.5</v>
      </c>
      <c r="G919" s="70">
        <v>4.5999999999999996</v>
      </c>
      <c r="H919" s="70">
        <f t="shared" si="64"/>
        <v>0.57499999999999996</v>
      </c>
      <c r="I919" s="70"/>
      <c r="J919" s="141"/>
      <c r="K919" s="113"/>
      <c r="M919" s="134"/>
      <c r="N919" s="134"/>
      <c r="O919" s="133"/>
    </row>
    <row r="920" spans="1:15" ht="12.75" customHeight="1" thickTop="1">
      <c r="A920" s="91"/>
      <c r="B920" s="90"/>
      <c r="C920" s="90"/>
      <c r="D920" s="90"/>
      <c r="E920" s="90"/>
      <c r="F920" s="90"/>
      <c r="G920" s="90"/>
      <c r="H920" s="90"/>
      <c r="I920" s="90"/>
      <c r="J920" s="90"/>
      <c r="K920" s="89"/>
      <c r="M920" s="134"/>
      <c r="N920" s="134"/>
      <c r="O920" s="133"/>
    </row>
    <row r="921" spans="1:15" ht="17.25" customHeight="1">
      <c r="A921" s="569" t="s">
        <v>29</v>
      </c>
      <c r="B921" s="570"/>
      <c r="C921" s="570"/>
      <c r="D921" s="570"/>
      <c r="E921" s="570"/>
      <c r="F921" s="570"/>
      <c r="G921" s="570"/>
      <c r="H921" s="570"/>
      <c r="I921" s="570"/>
      <c r="J921" s="570"/>
      <c r="K921" s="571"/>
      <c r="M921" s="134"/>
      <c r="N921" s="134"/>
      <c r="O921" s="133"/>
    </row>
    <row r="922" spans="1:15" ht="15.75" customHeight="1">
      <c r="A922" s="572" t="s">
        <v>69</v>
      </c>
      <c r="B922" s="573"/>
      <c r="C922" s="573"/>
      <c r="D922" s="573"/>
      <c r="E922" s="573"/>
      <c r="F922" s="573"/>
      <c r="G922" s="573"/>
      <c r="H922" s="573"/>
      <c r="I922" s="573"/>
      <c r="J922" s="573"/>
      <c r="K922" s="574"/>
      <c r="M922" s="134"/>
      <c r="N922" s="134"/>
      <c r="O922" s="133"/>
    </row>
    <row r="923" spans="1:15" ht="16.5" customHeight="1">
      <c r="A923" s="88"/>
      <c r="B923" s="85"/>
      <c r="C923" s="85"/>
      <c r="D923" s="85"/>
      <c r="E923" s="85"/>
      <c r="F923" s="85"/>
      <c r="G923" s="85"/>
      <c r="H923" s="85"/>
      <c r="I923" s="85"/>
      <c r="J923" s="85"/>
      <c r="K923" s="87"/>
      <c r="M923" s="134"/>
      <c r="N923" s="134"/>
      <c r="O923" s="133"/>
    </row>
    <row r="924" spans="1:15" ht="8.25" customHeight="1">
      <c r="A924" s="55"/>
      <c r="B924" s="86"/>
      <c r="C924" s="86"/>
      <c r="D924" s="86"/>
      <c r="E924" s="86"/>
      <c r="F924" s="86"/>
      <c r="G924" s="86"/>
      <c r="H924" s="86"/>
      <c r="I924" s="86"/>
      <c r="J924" s="86"/>
      <c r="K924" s="81"/>
      <c r="M924" s="134"/>
      <c r="N924" s="134"/>
      <c r="O924" s="133"/>
    </row>
    <row r="925" spans="1:15" ht="12.75" customHeight="1">
      <c r="A925" s="575" t="s">
        <v>68</v>
      </c>
      <c r="B925" s="576"/>
      <c r="C925" s="576"/>
      <c r="D925" s="576"/>
      <c r="E925" s="576"/>
      <c r="F925" s="576"/>
      <c r="G925" s="576"/>
      <c r="H925" s="576"/>
      <c r="I925" s="576"/>
      <c r="J925" s="576"/>
      <c r="K925" s="577"/>
      <c r="M925" s="134"/>
      <c r="N925" s="134"/>
      <c r="O925" s="133"/>
    </row>
    <row r="926" spans="1:15" ht="7.5" customHeight="1">
      <c r="A926" s="55"/>
      <c r="B926" s="86"/>
      <c r="C926" s="86"/>
      <c r="D926" s="86"/>
      <c r="E926" s="86"/>
      <c r="F926" s="86"/>
      <c r="G926" s="86"/>
      <c r="H926" s="86"/>
      <c r="I926" s="86"/>
      <c r="J926" s="85"/>
      <c r="K926" s="81"/>
      <c r="M926" s="134"/>
      <c r="N926" s="134"/>
      <c r="O926" s="133"/>
    </row>
    <row r="927" spans="1:15" ht="12.75" customHeight="1">
      <c r="A927" s="84"/>
      <c r="B927" s="83" t="s">
        <v>11</v>
      </c>
      <c r="C927" s="578" t="s">
        <v>361</v>
      </c>
      <c r="D927" s="579"/>
      <c r="E927" s="579"/>
      <c r="F927" s="579"/>
      <c r="G927" s="579"/>
      <c r="H927" s="579"/>
      <c r="I927" s="579"/>
      <c r="J927" s="580"/>
      <c r="K927" s="81"/>
      <c r="M927" s="134"/>
      <c r="N927" s="134"/>
      <c r="O927" s="133"/>
    </row>
    <row r="928" spans="1:15" ht="8.25" customHeight="1">
      <c r="A928" s="80"/>
      <c r="K928" s="81"/>
      <c r="M928" s="134"/>
      <c r="N928" s="134"/>
      <c r="O928" s="133"/>
    </row>
    <row r="929" spans="1:15" ht="12.75" customHeight="1">
      <c r="A929" s="80"/>
      <c r="B929" s="82" t="s">
        <v>67</v>
      </c>
      <c r="C929" s="581" t="s">
        <v>66</v>
      </c>
      <c r="D929" s="582"/>
      <c r="E929" s="582"/>
      <c r="F929" s="582"/>
      <c r="G929" s="582"/>
      <c r="H929" s="582"/>
      <c r="I929" s="582"/>
      <c r="J929" s="583"/>
      <c r="K929" s="81"/>
      <c r="M929" s="134"/>
      <c r="N929" s="134"/>
      <c r="O929" s="133"/>
    </row>
    <row r="930" spans="1:15" ht="6.75" customHeight="1">
      <c r="A930" s="279"/>
      <c r="B930" s="280"/>
      <c r="C930" s="281"/>
      <c r="D930" s="282"/>
      <c r="E930" s="282"/>
      <c r="F930" s="282"/>
      <c r="G930" s="282"/>
      <c r="H930" s="282"/>
      <c r="I930" s="282"/>
      <c r="J930" s="281"/>
      <c r="K930" s="283"/>
      <c r="M930" s="134"/>
      <c r="N930" s="134"/>
      <c r="O930" s="133"/>
    </row>
    <row r="931" spans="1:15" ht="12.75" customHeight="1">
      <c r="A931" s="584" t="s">
        <v>84</v>
      </c>
      <c r="B931" s="585" t="s">
        <v>83</v>
      </c>
      <c r="C931" s="585" t="s">
        <v>82</v>
      </c>
      <c r="D931" s="585" t="s">
        <v>81</v>
      </c>
      <c r="E931" s="564" t="s">
        <v>80</v>
      </c>
      <c r="F931" s="564"/>
      <c r="G931" s="564"/>
      <c r="H931" s="564" t="s">
        <v>79</v>
      </c>
      <c r="I931" s="564"/>
      <c r="J931" s="564"/>
      <c r="K931" s="565" t="s">
        <v>58</v>
      </c>
      <c r="M931" s="134"/>
      <c r="N931" s="134"/>
      <c r="O931" s="133"/>
    </row>
    <row r="932" spans="1:15" ht="12.75" customHeight="1">
      <c r="A932" s="584"/>
      <c r="B932" s="585"/>
      <c r="C932" s="585"/>
      <c r="D932" s="585"/>
      <c r="E932" s="125" t="s">
        <v>78</v>
      </c>
      <c r="F932" s="125" t="s">
        <v>77</v>
      </c>
      <c r="G932" s="125" t="s">
        <v>76</v>
      </c>
      <c r="H932" s="125" t="s">
        <v>75</v>
      </c>
      <c r="I932" s="125" t="s">
        <v>74</v>
      </c>
      <c r="J932" s="125" t="s">
        <v>73</v>
      </c>
      <c r="K932" s="565"/>
      <c r="M932" s="134"/>
      <c r="N932" s="134"/>
      <c r="O932" s="133"/>
    </row>
    <row r="933" spans="1:15" ht="12.75" customHeight="1">
      <c r="A933" s="584"/>
      <c r="B933" s="585"/>
      <c r="C933" s="585"/>
      <c r="D933" s="585"/>
      <c r="E933" s="125" t="s">
        <v>70</v>
      </c>
      <c r="F933" s="125" t="s">
        <v>70</v>
      </c>
      <c r="G933" s="125" t="s">
        <v>70</v>
      </c>
      <c r="H933" s="125" t="s">
        <v>72</v>
      </c>
      <c r="I933" s="125" t="s">
        <v>71</v>
      </c>
      <c r="J933" s="125" t="s">
        <v>70</v>
      </c>
      <c r="K933" s="565"/>
      <c r="M933" s="134"/>
      <c r="N933" s="134"/>
      <c r="O933" s="133"/>
    </row>
    <row r="934" spans="1:15" ht="12.75" customHeight="1">
      <c r="A934" s="66">
        <v>12</v>
      </c>
      <c r="B934" s="65" t="s">
        <v>123</v>
      </c>
      <c r="C934" s="64" t="s">
        <v>48</v>
      </c>
      <c r="D934" s="76"/>
      <c r="E934" s="75"/>
      <c r="F934" s="75"/>
      <c r="G934" s="75"/>
      <c r="H934" s="75"/>
      <c r="I934" s="75"/>
      <c r="J934" s="74"/>
      <c r="K934" s="63"/>
      <c r="M934" s="134"/>
      <c r="N934" s="134"/>
      <c r="O934" s="133"/>
    </row>
    <row r="935" spans="1:15" ht="12.75" customHeight="1">
      <c r="A935" s="118"/>
      <c r="B935" s="246" t="s">
        <v>514</v>
      </c>
      <c r="C935" s="93"/>
      <c r="D935" s="110">
        <v>1</v>
      </c>
      <c r="E935" s="109">
        <v>0.25</v>
      </c>
      <c r="F935" s="109">
        <v>0.5</v>
      </c>
      <c r="G935" s="68">
        <v>4.63</v>
      </c>
      <c r="H935" s="68">
        <f t="shared" si="64"/>
        <v>0.57874999999999999</v>
      </c>
      <c r="I935" s="68"/>
      <c r="J935" s="114"/>
      <c r="K935" s="117"/>
      <c r="M935" s="134"/>
      <c r="N935" s="134"/>
      <c r="O935" s="133"/>
    </row>
    <row r="936" spans="1:15" ht="12.75" customHeight="1">
      <c r="A936" s="115"/>
      <c r="B936" s="233" t="s">
        <v>538</v>
      </c>
      <c r="C936" s="140"/>
      <c r="D936" s="235">
        <v>1</v>
      </c>
      <c r="E936" s="170">
        <v>0.25</v>
      </c>
      <c r="F936" s="170">
        <v>0.5</v>
      </c>
      <c r="G936" s="70">
        <v>4.63</v>
      </c>
      <c r="H936" s="70">
        <f t="shared" si="64"/>
        <v>0.57874999999999999</v>
      </c>
      <c r="I936" s="70"/>
      <c r="J936" s="141"/>
      <c r="K936" s="113"/>
      <c r="M936" s="134"/>
      <c r="N936" s="134"/>
      <c r="O936" s="133"/>
    </row>
    <row r="937" spans="1:15" ht="12.75" customHeight="1">
      <c r="A937" s="103"/>
      <c r="B937" s="238" t="s">
        <v>539</v>
      </c>
      <c r="C937" s="122"/>
      <c r="D937" s="62">
        <v>1</v>
      </c>
      <c r="E937" s="61">
        <v>0.3</v>
      </c>
      <c r="F937" s="61">
        <v>0.95</v>
      </c>
      <c r="G937" s="61">
        <v>9.1</v>
      </c>
      <c r="H937" s="61">
        <f t="shared" si="64"/>
        <v>2.5934999999999997</v>
      </c>
      <c r="I937" s="61"/>
      <c r="J937" s="121"/>
      <c r="K937" s="120"/>
      <c r="M937" s="134"/>
      <c r="N937" s="134"/>
      <c r="O937" s="133"/>
    </row>
    <row r="938" spans="1:15" ht="12.75" customHeight="1">
      <c r="A938" s="108"/>
      <c r="B938" s="236" t="s">
        <v>540</v>
      </c>
      <c r="C938" s="104"/>
      <c r="D938" s="73">
        <v>1</v>
      </c>
      <c r="E938" s="72">
        <v>0.25</v>
      </c>
      <c r="F938" s="72">
        <v>0.5</v>
      </c>
      <c r="G938" s="72">
        <v>4.7300000000000004</v>
      </c>
      <c r="H938" s="72">
        <f t="shared" si="64"/>
        <v>0.59125000000000005</v>
      </c>
      <c r="I938" s="72"/>
      <c r="J938" s="124"/>
      <c r="K938" s="107"/>
      <c r="M938" s="134"/>
      <c r="N938" s="134"/>
      <c r="O938" s="133"/>
    </row>
    <row r="939" spans="1:15" ht="12.75" customHeight="1">
      <c r="A939" s="118"/>
      <c r="B939" s="237" t="s">
        <v>541</v>
      </c>
      <c r="C939" s="93"/>
      <c r="D939" s="69">
        <v>1</v>
      </c>
      <c r="E939" s="68">
        <v>0.25</v>
      </c>
      <c r="F939" s="68">
        <v>0.5</v>
      </c>
      <c r="G939" s="68">
        <v>3.21</v>
      </c>
      <c r="H939" s="68">
        <f t="shared" si="64"/>
        <v>0.40125</v>
      </c>
      <c r="I939" s="68"/>
      <c r="J939" s="114"/>
      <c r="K939" s="117"/>
      <c r="M939" s="134"/>
      <c r="N939" s="134"/>
      <c r="O939" s="133"/>
    </row>
    <row r="940" spans="1:15" ht="12.75" customHeight="1">
      <c r="A940" s="118"/>
      <c r="B940" s="237" t="s">
        <v>542</v>
      </c>
      <c r="C940" s="93"/>
      <c r="D940" s="69">
        <v>1</v>
      </c>
      <c r="E940" s="68">
        <v>0.25</v>
      </c>
      <c r="F940" s="68">
        <v>0.5</v>
      </c>
      <c r="G940" s="68">
        <v>3.24</v>
      </c>
      <c r="H940" s="68">
        <f t="shared" si="64"/>
        <v>0.40500000000000003</v>
      </c>
      <c r="I940" s="68"/>
      <c r="J940" s="114"/>
      <c r="K940" s="117"/>
      <c r="M940" s="134"/>
      <c r="N940" s="134"/>
      <c r="O940" s="133"/>
    </row>
    <row r="941" spans="1:15" ht="12.75" customHeight="1">
      <c r="A941" s="118"/>
      <c r="B941" s="237" t="s">
        <v>543</v>
      </c>
      <c r="C941" s="93"/>
      <c r="D941" s="69">
        <v>1</v>
      </c>
      <c r="E941" s="68">
        <v>0.25</v>
      </c>
      <c r="F941" s="68">
        <v>0.5</v>
      </c>
      <c r="G941" s="68">
        <v>3.17</v>
      </c>
      <c r="H941" s="68">
        <f t="shared" si="64"/>
        <v>0.39624999999999999</v>
      </c>
      <c r="I941" s="68"/>
      <c r="J941" s="114"/>
      <c r="K941" s="117"/>
      <c r="M941" s="134"/>
      <c r="N941" s="134"/>
      <c r="O941" s="133"/>
    </row>
    <row r="942" spans="1:15" ht="12.75" customHeight="1">
      <c r="A942" s="118"/>
      <c r="B942" s="237" t="s">
        <v>544</v>
      </c>
      <c r="C942" s="93"/>
      <c r="D942" s="69">
        <v>1</v>
      </c>
      <c r="E942" s="68">
        <v>0.25</v>
      </c>
      <c r="F942" s="68">
        <v>0.5</v>
      </c>
      <c r="G942" s="68">
        <v>2.2000000000000002</v>
      </c>
      <c r="H942" s="68">
        <f t="shared" si="64"/>
        <v>0.27500000000000002</v>
      </c>
      <c r="I942" s="68"/>
      <c r="J942" s="114"/>
      <c r="K942" s="117"/>
      <c r="M942" s="134"/>
      <c r="N942" s="134"/>
      <c r="O942" s="133"/>
    </row>
    <row r="943" spans="1:15" ht="12.75" customHeight="1">
      <c r="A943" s="118"/>
      <c r="B943" s="237" t="s">
        <v>545</v>
      </c>
      <c r="C943" s="93"/>
      <c r="D943" s="69">
        <v>1</v>
      </c>
      <c r="E943" s="68">
        <v>0.25</v>
      </c>
      <c r="F943" s="68">
        <v>0.7</v>
      </c>
      <c r="G943" s="68">
        <v>4.82</v>
      </c>
      <c r="H943" s="68">
        <f t="shared" si="64"/>
        <v>0.84350000000000003</v>
      </c>
      <c r="I943" s="68"/>
      <c r="J943" s="114"/>
      <c r="K943" s="117"/>
      <c r="M943" s="134"/>
      <c r="N943" s="134"/>
      <c r="O943" s="133"/>
    </row>
    <row r="944" spans="1:15" ht="12.75" customHeight="1">
      <c r="A944" s="118"/>
      <c r="B944" s="237" t="s">
        <v>546</v>
      </c>
      <c r="C944" s="93"/>
      <c r="D944" s="69">
        <v>1</v>
      </c>
      <c r="E944" s="68">
        <v>0.25</v>
      </c>
      <c r="F944" s="68">
        <v>0.7</v>
      </c>
      <c r="G944" s="68">
        <v>4.82</v>
      </c>
      <c r="H944" s="68">
        <f t="shared" si="64"/>
        <v>0.84350000000000003</v>
      </c>
      <c r="I944" s="68"/>
      <c r="J944" s="114"/>
      <c r="K944" s="117"/>
      <c r="M944" s="134"/>
      <c r="N944" s="134"/>
      <c r="O944" s="133"/>
    </row>
    <row r="945" spans="1:15" ht="12.75" customHeight="1">
      <c r="A945" s="118"/>
      <c r="B945" s="237" t="s">
        <v>547</v>
      </c>
      <c r="C945" s="93"/>
      <c r="D945" s="69">
        <v>1</v>
      </c>
      <c r="E945" s="68">
        <v>0.25</v>
      </c>
      <c r="F945" s="68">
        <v>0.7</v>
      </c>
      <c r="G945" s="68">
        <v>4.82</v>
      </c>
      <c r="H945" s="68">
        <f t="shared" si="64"/>
        <v>0.84350000000000003</v>
      </c>
      <c r="I945" s="68"/>
      <c r="J945" s="114"/>
      <c r="K945" s="117"/>
      <c r="M945" s="134"/>
      <c r="N945" s="134"/>
      <c r="O945" s="133"/>
    </row>
    <row r="946" spans="1:15" ht="12.75" customHeight="1">
      <c r="A946" s="118"/>
      <c r="B946" s="237" t="s">
        <v>548</v>
      </c>
      <c r="C946" s="93"/>
      <c r="D946" s="69">
        <v>1</v>
      </c>
      <c r="E946" s="68">
        <v>0.25</v>
      </c>
      <c r="F946" s="68">
        <v>0.7</v>
      </c>
      <c r="G946" s="68">
        <v>4.82</v>
      </c>
      <c r="H946" s="68">
        <f t="shared" si="64"/>
        <v>0.84350000000000003</v>
      </c>
      <c r="I946" s="68"/>
      <c r="J946" s="114"/>
      <c r="K946" s="117"/>
      <c r="M946" s="134"/>
      <c r="N946" s="134"/>
      <c r="O946" s="133"/>
    </row>
    <row r="947" spans="1:15" ht="12.75" customHeight="1">
      <c r="A947" s="118"/>
      <c r="B947" s="237" t="s">
        <v>549</v>
      </c>
      <c r="C947" s="93"/>
      <c r="D947" s="69">
        <v>1</v>
      </c>
      <c r="E947" s="68">
        <v>0.25</v>
      </c>
      <c r="F947" s="68">
        <v>0.5</v>
      </c>
      <c r="G947" s="68">
        <v>2.2000000000000002</v>
      </c>
      <c r="H947" s="68">
        <f t="shared" si="64"/>
        <v>0.27500000000000002</v>
      </c>
      <c r="I947" s="68"/>
      <c r="J947" s="114"/>
      <c r="K947" s="117"/>
      <c r="M947" s="134"/>
      <c r="N947" s="134"/>
      <c r="O947" s="133"/>
    </row>
    <row r="948" spans="1:15" ht="12.75" customHeight="1">
      <c r="A948" s="118"/>
      <c r="B948" s="237" t="s">
        <v>550</v>
      </c>
      <c r="C948" s="93"/>
      <c r="D948" s="69">
        <v>1</v>
      </c>
      <c r="E948" s="68">
        <v>0.25</v>
      </c>
      <c r="F948" s="68">
        <v>0.5</v>
      </c>
      <c r="G948" s="68">
        <v>3.17</v>
      </c>
      <c r="H948" s="68">
        <f t="shared" si="64"/>
        <v>0.39624999999999999</v>
      </c>
      <c r="I948" s="68"/>
      <c r="J948" s="114"/>
      <c r="K948" s="117"/>
      <c r="M948" s="134"/>
      <c r="N948" s="134"/>
      <c r="O948" s="133"/>
    </row>
    <row r="949" spans="1:15" ht="12.75" customHeight="1">
      <c r="A949" s="118"/>
      <c r="B949" s="237" t="s">
        <v>551</v>
      </c>
      <c r="C949" s="93"/>
      <c r="D949" s="69">
        <v>1</v>
      </c>
      <c r="E949" s="68">
        <v>0.25</v>
      </c>
      <c r="F949" s="68">
        <v>0.5</v>
      </c>
      <c r="G949" s="68">
        <v>3.24</v>
      </c>
      <c r="H949" s="68">
        <f t="shared" si="64"/>
        <v>0.40500000000000003</v>
      </c>
      <c r="I949" s="68"/>
      <c r="J949" s="114"/>
      <c r="K949" s="117"/>
      <c r="M949" s="134"/>
      <c r="N949" s="134"/>
      <c r="O949" s="133"/>
    </row>
    <row r="950" spans="1:15" ht="12.75" customHeight="1">
      <c r="A950" s="118"/>
      <c r="B950" s="237" t="s">
        <v>552</v>
      </c>
      <c r="C950" s="93"/>
      <c r="D950" s="69">
        <v>1</v>
      </c>
      <c r="E950" s="68">
        <v>0.25</v>
      </c>
      <c r="F950" s="68">
        <v>0.5</v>
      </c>
      <c r="G950" s="68">
        <v>3.24</v>
      </c>
      <c r="H950" s="68">
        <f t="shared" si="64"/>
        <v>0.40500000000000003</v>
      </c>
      <c r="I950" s="68"/>
      <c r="J950" s="114"/>
      <c r="K950" s="117"/>
      <c r="M950" s="134"/>
      <c r="N950" s="134"/>
      <c r="O950" s="133"/>
    </row>
    <row r="951" spans="1:15" ht="12.75" customHeight="1">
      <c r="A951" s="118"/>
      <c r="B951" s="237" t="s">
        <v>553</v>
      </c>
      <c r="C951" s="93"/>
      <c r="D951" s="69">
        <v>1</v>
      </c>
      <c r="E951" s="68">
        <v>0.25</v>
      </c>
      <c r="F951" s="68">
        <v>0.5</v>
      </c>
      <c r="G951" s="68">
        <v>3.17</v>
      </c>
      <c r="H951" s="68">
        <f t="shared" si="64"/>
        <v>0.39624999999999999</v>
      </c>
      <c r="I951" s="68"/>
      <c r="J951" s="114"/>
      <c r="K951" s="117"/>
      <c r="M951" s="134"/>
      <c r="N951" s="134"/>
      <c r="O951" s="133"/>
    </row>
    <row r="952" spans="1:15" ht="12.75" customHeight="1">
      <c r="A952" s="115"/>
      <c r="B952" s="231" t="s">
        <v>554</v>
      </c>
      <c r="C952" s="140"/>
      <c r="D952" s="71">
        <v>1</v>
      </c>
      <c r="E952" s="70">
        <v>0.25</v>
      </c>
      <c r="F952" s="70">
        <v>0.5</v>
      </c>
      <c r="G952" s="70">
        <v>2.2000000000000002</v>
      </c>
      <c r="H952" s="70">
        <f t="shared" si="64"/>
        <v>0.27500000000000002</v>
      </c>
      <c r="I952" s="70"/>
      <c r="J952" s="141"/>
      <c r="K952" s="113"/>
      <c r="M952" s="134"/>
      <c r="N952" s="134"/>
      <c r="O952" s="133"/>
    </row>
    <row r="953" spans="1:15" ht="12.75" customHeight="1">
      <c r="A953" s="108"/>
      <c r="B953" s="236" t="s">
        <v>555</v>
      </c>
      <c r="C953" s="104"/>
      <c r="D953" s="73">
        <v>1</v>
      </c>
      <c r="E953" s="72">
        <v>0.25</v>
      </c>
      <c r="F953" s="72">
        <v>0.5</v>
      </c>
      <c r="G953" s="72">
        <v>3.8</v>
      </c>
      <c r="H953" s="72">
        <f t="shared" si="64"/>
        <v>0.47499999999999998</v>
      </c>
      <c r="I953" s="72"/>
      <c r="J953" s="124"/>
      <c r="K953" s="107"/>
      <c r="M953" s="134"/>
      <c r="N953" s="134"/>
      <c r="O953" s="133"/>
    </row>
    <row r="954" spans="1:15" ht="12.75" customHeight="1">
      <c r="A954" s="118"/>
      <c r="B954" s="246" t="s">
        <v>556</v>
      </c>
      <c r="C954" s="93"/>
      <c r="D954" s="69">
        <v>1</v>
      </c>
      <c r="E954" s="68">
        <v>0.25</v>
      </c>
      <c r="F954" s="68">
        <v>0.5</v>
      </c>
      <c r="G954" s="68">
        <v>3.59</v>
      </c>
      <c r="H954" s="68">
        <f t="shared" si="64"/>
        <v>0.44874999999999998</v>
      </c>
      <c r="I954" s="68"/>
      <c r="J954" s="114"/>
      <c r="K954" s="117"/>
      <c r="M954" s="134"/>
      <c r="N954" s="134"/>
      <c r="O954" s="133"/>
    </row>
    <row r="955" spans="1:15" ht="12.75" customHeight="1">
      <c r="A955" s="118"/>
      <c r="B955" s="246" t="s">
        <v>557</v>
      </c>
      <c r="C955" s="93"/>
      <c r="D955" s="69">
        <v>1</v>
      </c>
      <c r="E955" s="68">
        <v>0.25</v>
      </c>
      <c r="F955" s="68">
        <v>0.5</v>
      </c>
      <c r="G955" s="68">
        <v>4.01</v>
      </c>
      <c r="H955" s="68">
        <f t="shared" si="64"/>
        <v>0.50124999999999997</v>
      </c>
      <c r="I955" s="68"/>
      <c r="J955" s="114"/>
      <c r="K955" s="117"/>
      <c r="M955" s="134"/>
      <c r="N955" s="134"/>
      <c r="O955" s="133"/>
    </row>
    <row r="956" spans="1:15" ht="12.75" customHeight="1">
      <c r="A956" s="118"/>
      <c r="B956" s="246" t="s">
        <v>558</v>
      </c>
      <c r="C956" s="93"/>
      <c r="D956" s="69">
        <v>1</v>
      </c>
      <c r="E956" s="68">
        <v>0.25</v>
      </c>
      <c r="F956" s="68">
        <v>0.5</v>
      </c>
      <c r="G956" s="68">
        <v>4.6500000000000004</v>
      </c>
      <c r="H956" s="68">
        <f t="shared" si="64"/>
        <v>0.58125000000000004</v>
      </c>
      <c r="I956" s="68"/>
      <c r="J956" s="114"/>
      <c r="K956" s="117"/>
      <c r="M956" s="134"/>
      <c r="N956" s="134"/>
      <c r="O956" s="133"/>
    </row>
    <row r="957" spans="1:15" ht="12.75" customHeight="1">
      <c r="A957" s="118"/>
      <c r="B957" s="246" t="s">
        <v>559</v>
      </c>
      <c r="C957" s="93"/>
      <c r="D957" s="69">
        <v>1</v>
      </c>
      <c r="E957" s="68">
        <v>0.25</v>
      </c>
      <c r="F957" s="68">
        <v>0.5</v>
      </c>
      <c r="G957" s="68">
        <v>4.5999999999999996</v>
      </c>
      <c r="H957" s="68">
        <f t="shared" si="64"/>
        <v>0.57499999999999996</v>
      </c>
      <c r="I957" s="68"/>
      <c r="J957" s="114"/>
      <c r="K957" s="117"/>
      <c r="M957" s="134"/>
      <c r="N957" s="134"/>
      <c r="O957" s="133"/>
    </row>
    <row r="958" spans="1:15" ht="12.75" customHeight="1">
      <c r="A958" s="118"/>
      <c r="B958" s="246" t="s">
        <v>560</v>
      </c>
      <c r="C958" s="93"/>
      <c r="D958" s="69">
        <v>1</v>
      </c>
      <c r="E958" s="68">
        <v>0.25</v>
      </c>
      <c r="F958" s="68">
        <v>0.5</v>
      </c>
      <c r="G958" s="68">
        <v>4.5999999999999996</v>
      </c>
      <c r="H958" s="68">
        <f t="shared" si="64"/>
        <v>0.57499999999999996</v>
      </c>
      <c r="I958" s="68"/>
      <c r="J958" s="114"/>
      <c r="K958" s="117"/>
      <c r="M958" s="134"/>
      <c r="N958" s="134"/>
      <c r="O958" s="133"/>
    </row>
    <row r="959" spans="1:15" ht="12.75" customHeight="1">
      <c r="A959" s="115"/>
      <c r="B959" s="233" t="s">
        <v>561</v>
      </c>
      <c r="C959" s="140"/>
      <c r="D959" s="71">
        <v>1</v>
      </c>
      <c r="E959" s="70">
        <v>0.25</v>
      </c>
      <c r="F959" s="70">
        <v>0.5</v>
      </c>
      <c r="G959" s="70">
        <v>2.15</v>
      </c>
      <c r="H959" s="70">
        <f t="shared" si="64"/>
        <v>0.26874999999999999</v>
      </c>
      <c r="I959" s="70"/>
      <c r="J959" s="141"/>
      <c r="K959" s="113"/>
      <c r="M959" s="134"/>
      <c r="N959" s="134"/>
      <c r="O959" s="133"/>
    </row>
    <row r="960" spans="1:15" ht="12.75" customHeight="1">
      <c r="A960" s="108"/>
      <c r="B960" s="236" t="s">
        <v>562</v>
      </c>
      <c r="C960" s="104"/>
      <c r="D960" s="73">
        <v>1</v>
      </c>
      <c r="E960" s="72">
        <v>0.25</v>
      </c>
      <c r="F960" s="72">
        <v>0.5</v>
      </c>
      <c r="G960" s="72">
        <v>3.8</v>
      </c>
      <c r="H960" s="72">
        <f t="shared" si="64"/>
        <v>0.47499999999999998</v>
      </c>
      <c r="I960" s="72"/>
      <c r="J960" s="124"/>
      <c r="K960" s="107"/>
      <c r="M960" s="134"/>
      <c r="N960" s="134"/>
      <c r="O960" s="133"/>
    </row>
    <row r="961" spans="1:15" ht="12.75" customHeight="1">
      <c r="A961" s="118"/>
      <c r="B961" s="237" t="s">
        <v>563</v>
      </c>
      <c r="C961" s="93"/>
      <c r="D961" s="69">
        <v>1</v>
      </c>
      <c r="E961" s="68">
        <v>0.25</v>
      </c>
      <c r="F961" s="68">
        <v>0.5</v>
      </c>
      <c r="G961" s="68">
        <v>3.57</v>
      </c>
      <c r="H961" s="68">
        <f t="shared" si="64"/>
        <v>0.44624999999999998</v>
      </c>
      <c r="I961" s="68"/>
      <c r="J961" s="114"/>
      <c r="K961" s="117"/>
      <c r="M961" s="134"/>
      <c r="N961" s="134"/>
      <c r="O961" s="133"/>
    </row>
    <row r="962" spans="1:15" ht="12.75" customHeight="1">
      <c r="A962" s="118"/>
      <c r="B962" s="237" t="s">
        <v>564</v>
      </c>
      <c r="C962" s="93"/>
      <c r="D962" s="69">
        <v>1</v>
      </c>
      <c r="E962" s="68">
        <v>0.25</v>
      </c>
      <c r="F962" s="68">
        <v>0.5</v>
      </c>
      <c r="G962" s="68">
        <v>4.04</v>
      </c>
      <c r="H962" s="68">
        <f t="shared" si="64"/>
        <v>0.505</v>
      </c>
      <c r="I962" s="68"/>
      <c r="J962" s="114"/>
      <c r="K962" s="117"/>
      <c r="M962" s="134"/>
      <c r="N962" s="134"/>
      <c r="O962" s="133"/>
    </row>
    <row r="963" spans="1:15" ht="12.75" customHeight="1">
      <c r="A963" s="118"/>
      <c r="B963" s="237" t="s">
        <v>565</v>
      </c>
      <c r="C963" s="93"/>
      <c r="D963" s="69">
        <v>1</v>
      </c>
      <c r="E963" s="68">
        <v>0.25</v>
      </c>
      <c r="F963" s="68">
        <v>0.5</v>
      </c>
      <c r="G963" s="68">
        <v>4.6500000000000004</v>
      </c>
      <c r="H963" s="68">
        <f t="shared" si="64"/>
        <v>0.58125000000000004</v>
      </c>
      <c r="I963" s="68"/>
      <c r="J963" s="114"/>
      <c r="K963" s="117"/>
      <c r="M963" s="134"/>
      <c r="N963" s="134"/>
      <c r="O963" s="133"/>
    </row>
    <row r="964" spans="1:15" ht="12.75" customHeight="1">
      <c r="A964" s="118"/>
      <c r="B964" s="237" t="s">
        <v>566</v>
      </c>
      <c r="C964" s="93"/>
      <c r="D964" s="69">
        <v>1</v>
      </c>
      <c r="E964" s="68">
        <v>0.25</v>
      </c>
      <c r="F964" s="68">
        <v>0.5</v>
      </c>
      <c r="G964" s="68">
        <v>4.5999999999999996</v>
      </c>
      <c r="H964" s="68">
        <f t="shared" si="64"/>
        <v>0.57499999999999996</v>
      </c>
      <c r="I964" s="68"/>
      <c r="J964" s="114"/>
      <c r="K964" s="117"/>
      <c r="M964" s="134"/>
      <c r="N964" s="134"/>
      <c r="O964" s="133"/>
    </row>
    <row r="965" spans="1:15" ht="12.75" customHeight="1">
      <c r="A965" s="118"/>
      <c r="B965" s="237" t="s">
        <v>567</v>
      </c>
      <c r="C965" s="93"/>
      <c r="D965" s="69">
        <v>1</v>
      </c>
      <c r="E965" s="68">
        <v>0.25</v>
      </c>
      <c r="F965" s="68">
        <v>0.5</v>
      </c>
      <c r="G965" s="68">
        <v>2.13</v>
      </c>
      <c r="H965" s="68">
        <f t="shared" si="64"/>
        <v>0.26624999999999999</v>
      </c>
      <c r="I965" s="68"/>
      <c r="J965" s="114"/>
      <c r="K965" s="117"/>
      <c r="M965" s="134"/>
      <c r="N965" s="134"/>
      <c r="O965" s="133"/>
    </row>
    <row r="966" spans="1:15" ht="12.75" customHeight="1">
      <c r="A966" s="118"/>
      <c r="B966" s="237" t="s">
        <v>568</v>
      </c>
      <c r="C966" s="93"/>
      <c r="D966" s="69">
        <v>1</v>
      </c>
      <c r="E966" s="68">
        <v>0.25</v>
      </c>
      <c r="F966" s="68">
        <v>0.5</v>
      </c>
      <c r="G966" s="68">
        <v>2.13</v>
      </c>
      <c r="H966" s="68">
        <f t="shared" si="64"/>
        <v>0.26624999999999999</v>
      </c>
      <c r="I966" s="68"/>
      <c r="J966" s="114"/>
      <c r="K966" s="117"/>
      <c r="M966" s="134"/>
      <c r="N966" s="134"/>
      <c r="O966" s="133"/>
    </row>
    <row r="967" spans="1:15" ht="12.75" customHeight="1">
      <c r="A967" s="115"/>
      <c r="B967" s="231" t="s">
        <v>569</v>
      </c>
      <c r="C967" s="140"/>
      <c r="D967" s="71">
        <v>1</v>
      </c>
      <c r="E967" s="70">
        <v>0.25</v>
      </c>
      <c r="F967" s="70">
        <v>0.5</v>
      </c>
      <c r="G967" s="70">
        <v>2</v>
      </c>
      <c r="H967" s="70">
        <f t="shared" si="64"/>
        <v>0.25</v>
      </c>
      <c r="I967" s="70"/>
      <c r="J967" s="141"/>
      <c r="K967" s="113"/>
      <c r="M967" s="134"/>
      <c r="N967" s="134"/>
      <c r="O967" s="133"/>
    </row>
    <row r="968" spans="1:15" ht="12.75" customHeight="1">
      <c r="A968" s="108"/>
      <c r="B968" s="236" t="s">
        <v>570</v>
      </c>
      <c r="C968" s="104"/>
      <c r="D968" s="73">
        <v>1</v>
      </c>
      <c r="E968" s="72">
        <v>0.3</v>
      </c>
      <c r="F968" s="72">
        <v>0.25</v>
      </c>
      <c r="G968" s="72">
        <v>4.45</v>
      </c>
      <c r="H968" s="72">
        <f t="shared" si="64"/>
        <v>0.33374999999999999</v>
      </c>
      <c r="I968" s="72"/>
      <c r="J968" s="124"/>
      <c r="K968" s="107"/>
      <c r="M968" s="134"/>
      <c r="N968" s="134"/>
      <c r="O968" s="133"/>
    </row>
    <row r="969" spans="1:15" ht="12.75" customHeight="1">
      <c r="A969" s="118"/>
      <c r="B969" s="237" t="s">
        <v>571</v>
      </c>
      <c r="C969" s="93"/>
      <c r="D969" s="69">
        <v>1</v>
      </c>
      <c r="E969" s="68">
        <v>0.3</v>
      </c>
      <c r="F969" s="68">
        <v>0.25</v>
      </c>
      <c r="G969" s="68">
        <v>4.45</v>
      </c>
      <c r="H969" s="68">
        <f t="shared" si="64"/>
        <v>0.33374999999999999</v>
      </c>
      <c r="I969" s="68"/>
      <c r="J969" s="114"/>
      <c r="K969" s="117"/>
      <c r="M969" s="134"/>
      <c r="N969" s="134"/>
      <c r="O969" s="133"/>
    </row>
    <row r="970" spans="1:15" ht="12.75" customHeight="1">
      <c r="A970" s="118"/>
      <c r="B970" s="237" t="s">
        <v>572</v>
      </c>
      <c r="C970" s="93"/>
      <c r="D970" s="69">
        <v>1</v>
      </c>
      <c r="E970" s="68">
        <v>0.3</v>
      </c>
      <c r="F970" s="68">
        <v>0.25</v>
      </c>
      <c r="G970" s="68">
        <v>4.45</v>
      </c>
      <c r="H970" s="68">
        <f t="shared" si="64"/>
        <v>0.33374999999999999</v>
      </c>
      <c r="I970" s="68"/>
      <c r="J970" s="114"/>
      <c r="K970" s="117"/>
      <c r="M970" s="134"/>
      <c r="N970" s="134"/>
      <c r="O970" s="133"/>
    </row>
    <row r="971" spans="1:15" ht="12.75" customHeight="1">
      <c r="A971" s="115"/>
      <c r="B971" s="231" t="s">
        <v>573</v>
      </c>
      <c r="C971" s="140"/>
      <c r="D971" s="71">
        <v>1</v>
      </c>
      <c r="E971" s="70">
        <v>0.3</v>
      </c>
      <c r="F971" s="70">
        <v>0.25</v>
      </c>
      <c r="G971" s="70">
        <v>4.45</v>
      </c>
      <c r="H971" s="70">
        <f t="shared" si="64"/>
        <v>0.33374999999999999</v>
      </c>
      <c r="I971" s="70"/>
      <c r="J971" s="141"/>
      <c r="K971" s="113"/>
      <c r="M971" s="134"/>
      <c r="N971" s="134"/>
      <c r="O971" s="133"/>
    </row>
    <row r="972" spans="1:15" ht="12.75" customHeight="1">
      <c r="A972" s="108"/>
      <c r="B972" s="236" t="s">
        <v>574</v>
      </c>
      <c r="C972" s="104"/>
      <c r="D972" s="73">
        <v>1</v>
      </c>
      <c r="E972" s="72">
        <v>0.25</v>
      </c>
      <c r="F972" s="72">
        <v>0.5</v>
      </c>
      <c r="G972" s="72">
        <v>2.1</v>
      </c>
      <c r="H972" s="72">
        <f t="shared" si="64"/>
        <v>0.26250000000000001</v>
      </c>
      <c r="I972" s="72"/>
      <c r="J972" s="124"/>
      <c r="K972" s="107"/>
      <c r="M972" s="134"/>
      <c r="N972" s="134"/>
      <c r="O972" s="133"/>
    </row>
    <row r="973" spans="1:15" ht="12.75" customHeight="1">
      <c r="A973" s="118"/>
      <c r="B973" s="237" t="s">
        <v>575</v>
      </c>
      <c r="C973" s="93"/>
      <c r="D973" s="69">
        <v>1</v>
      </c>
      <c r="E973" s="68">
        <v>0.3</v>
      </c>
      <c r="F973" s="68">
        <v>0.7</v>
      </c>
      <c r="G973" s="68">
        <v>6.95</v>
      </c>
      <c r="H973" s="68">
        <f t="shared" si="64"/>
        <v>1.4595</v>
      </c>
      <c r="I973" s="68"/>
      <c r="J973" s="114"/>
      <c r="K973" s="117"/>
      <c r="M973" s="134"/>
      <c r="N973" s="134"/>
      <c r="O973" s="133"/>
    </row>
    <row r="974" spans="1:15" ht="12.75" customHeight="1">
      <c r="A974" s="118"/>
      <c r="B974" s="237" t="s">
        <v>576</v>
      </c>
      <c r="C974" s="93"/>
      <c r="D974" s="69">
        <v>1</v>
      </c>
      <c r="E974" s="68">
        <v>0.3</v>
      </c>
      <c r="F974" s="68">
        <v>0.7</v>
      </c>
      <c r="G974" s="68">
        <v>6.9</v>
      </c>
      <c r="H974" s="68">
        <f t="shared" si="64"/>
        <v>1.4490000000000001</v>
      </c>
      <c r="I974" s="68"/>
      <c r="J974" s="114"/>
      <c r="K974" s="117"/>
      <c r="M974" s="134"/>
      <c r="N974" s="134"/>
      <c r="O974" s="133"/>
    </row>
    <row r="975" spans="1:15" ht="12.75" customHeight="1">
      <c r="A975" s="118"/>
      <c r="B975" s="237" t="s">
        <v>577</v>
      </c>
      <c r="C975" s="93"/>
      <c r="D975" s="69">
        <v>1</v>
      </c>
      <c r="E975" s="68">
        <v>0.3</v>
      </c>
      <c r="F975" s="68">
        <v>0.7</v>
      </c>
      <c r="G975" s="68">
        <v>6.9</v>
      </c>
      <c r="H975" s="68">
        <f t="shared" si="64"/>
        <v>1.4490000000000001</v>
      </c>
      <c r="I975" s="68"/>
      <c r="J975" s="114"/>
      <c r="K975" s="117"/>
      <c r="M975" s="134"/>
      <c r="N975" s="134"/>
      <c r="O975" s="133"/>
    </row>
    <row r="976" spans="1:15" ht="12.75" customHeight="1">
      <c r="A976" s="115"/>
      <c r="B976" s="231" t="s">
        <v>578</v>
      </c>
      <c r="C976" s="140"/>
      <c r="D976" s="71">
        <v>1</v>
      </c>
      <c r="E976" s="70">
        <v>0.25</v>
      </c>
      <c r="F976" s="70">
        <v>0.5</v>
      </c>
      <c r="G976" s="70">
        <v>2.0499999999999998</v>
      </c>
      <c r="H976" s="70">
        <f t="shared" si="64"/>
        <v>0.25624999999999998</v>
      </c>
      <c r="I976" s="70"/>
      <c r="J976" s="141"/>
      <c r="K976" s="113"/>
      <c r="M976" s="134"/>
      <c r="N976" s="134"/>
      <c r="O976" s="133"/>
    </row>
    <row r="977" spans="1:15" ht="12.75" customHeight="1">
      <c r="A977" s="103"/>
      <c r="B977" s="238" t="s">
        <v>579</v>
      </c>
      <c r="C977" s="122"/>
      <c r="D977" s="62">
        <v>1</v>
      </c>
      <c r="E977" s="61">
        <v>0.3</v>
      </c>
      <c r="F977" s="61">
        <v>0.25</v>
      </c>
      <c r="G977" s="61">
        <v>1.1000000000000001</v>
      </c>
      <c r="H977" s="61">
        <f t="shared" si="64"/>
        <v>8.2500000000000004E-2</v>
      </c>
      <c r="I977" s="61"/>
      <c r="J977" s="121"/>
      <c r="K977" s="120"/>
      <c r="M977" s="134"/>
      <c r="N977" s="134"/>
      <c r="O977" s="133"/>
    </row>
    <row r="978" spans="1:15" ht="12.75" customHeight="1" thickBot="1">
      <c r="A978" s="254"/>
      <c r="B978" s="284" t="s">
        <v>580</v>
      </c>
      <c r="C978" s="256"/>
      <c r="D978" s="257">
        <v>1</v>
      </c>
      <c r="E978" s="258">
        <v>0.25</v>
      </c>
      <c r="F978" s="258">
        <v>0.5</v>
      </c>
      <c r="G978" s="258">
        <v>2.13</v>
      </c>
      <c r="H978" s="258">
        <f t="shared" si="64"/>
        <v>0.26624999999999999</v>
      </c>
      <c r="I978" s="258"/>
      <c r="J978" s="259"/>
      <c r="K978" s="260"/>
      <c r="M978" s="134"/>
      <c r="N978" s="134"/>
      <c r="O978" s="133"/>
    </row>
    <row r="979" spans="1:15" ht="12.75" customHeight="1" thickTop="1">
      <c r="A979" s="91"/>
      <c r="B979" s="90"/>
      <c r="C979" s="90"/>
      <c r="D979" s="90"/>
      <c r="E979" s="90"/>
      <c r="F979" s="90"/>
      <c r="G979" s="90"/>
      <c r="H979" s="90"/>
      <c r="I979" s="90"/>
      <c r="J979" s="90"/>
      <c r="K979" s="89"/>
      <c r="M979" s="134"/>
      <c r="N979" s="134"/>
      <c r="O979" s="133"/>
    </row>
    <row r="980" spans="1:15" ht="17.25" customHeight="1">
      <c r="A980" s="569" t="s">
        <v>29</v>
      </c>
      <c r="B980" s="570"/>
      <c r="C980" s="570"/>
      <c r="D980" s="570"/>
      <c r="E980" s="570"/>
      <c r="F980" s="570"/>
      <c r="G980" s="570"/>
      <c r="H980" s="570"/>
      <c r="I980" s="570"/>
      <c r="J980" s="570"/>
      <c r="K980" s="571"/>
      <c r="M980" s="134"/>
      <c r="N980" s="134"/>
      <c r="O980" s="133"/>
    </row>
    <row r="981" spans="1:15" ht="17.25" customHeight="1">
      <c r="A981" s="572" t="s">
        <v>69</v>
      </c>
      <c r="B981" s="573"/>
      <c r="C981" s="573"/>
      <c r="D981" s="573"/>
      <c r="E981" s="573"/>
      <c r="F981" s="573"/>
      <c r="G981" s="573"/>
      <c r="H981" s="573"/>
      <c r="I981" s="573"/>
      <c r="J981" s="573"/>
      <c r="K981" s="574"/>
      <c r="M981" s="134"/>
      <c r="N981" s="134"/>
      <c r="O981" s="133"/>
    </row>
    <row r="982" spans="1:15" ht="11.25" customHeight="1">
      <c r="A982" s="88"/>
      <c r="B982" s="85"/>
      <c r="C982" s="85"/>
      <c r="D982" s="85"/>
      <c r="E982" s="85"/>
      <c r="F982" s="85"/>
      <c r="G982" s="85"/>
      <c r="H982" s="85"/>
      <c r="I982" s="85"/>
      <c r="J982" s="85"/>
      <c r="K982" s="87"/>
      <c r="M982" s="134"/>
      <c r="N982" s="134"/>
      <c r="O982" s="133"/>
    </row>
    <row r="983" spans="1:15" ht="9" customHeight="1">
      <c r="A983" s="55"/>
      <c r="B983" s="86"/>
      <c r="C983" s="86"/>
      <c r="D983" s="86"/>
      <c r="E983" s="86"/>
      <c r="F983" s="86"/>
      <c r="G983" s="86"/>
      <c r="H983" s="86"/>
      <c r="I983" s="86"/>
      <c r="J983" s="86"/>
      <c r="K983" s="81"/>
      <c r="M983" s="134"/>
      <c r="N983" s="134"/>
      <c r="O983" s="133"/>
    </row>
    <row r="984" spans="1:15" ht="12.75" customHeight="1">
      <c r="A984" s="575" t="s">
        <v>68</v>
      </c>
      <c r="B984" s="576"/>
      <c r="C984" s="576"/>
      <c r="D984" s="576"/>
      <c r="E984" s="576"/>
      <c r="F984" s="576"/>
      <c r="G984" s="576"/>
      <c r="H984" s="576"/>
      <c r="I984" s="576"/>
      <c r="J984" s="576"/>
      <c r="K984" s="577"/>
      <c r="M984" s="134"/>
      <c r="N984" s="134"/>
      <c r="O984" s="133"/>
    </row>
    <row r="985" spans="1:15" ht="6.75" customHeight="1">
      <c r="A985" s="55"/>
      <c r="B985" s="86"/>
      <c r="C985" s="86"/>
      <c r="D985" s="86"/>
      <c r="E985" s="86"/>
      <c r="F985" s="86"/>
      <c r="G985" s="86"/>
      <c r="H985" s="86"/>
      <c r="I985" s="86"/>
      <c r="J985" s="85"/>
      <c r="K985" s="81"/>
      <c r="M985" s="134"/>
      <c r="N985" s="134"/>
      <c r="O985" s="133"/>
    </row>
    <row r="986" spans="1:15" ht="12.75" customHeight="1">
      <c r="A986" s="84"/>
      <c r="B986" s="83" t="s">
        <v>11</v>
      </c>
      <c r="C986" s="578" t="s">
        <v>361</v>
      </c>
      <c r="D986" s="579"/>
      <c r="E986" s="579"/>
      <c r="F986" s="579"/>
      <c r="G986" s="579"/>
      <c r="H986" s="579"/>
      <c r="I986" s="579"/>
      <c r="J986" s="580"/>
      <c r="K986" s="81"/>
      <c r="M986" s="134"/>
      <c r="N986" s="134"/>
      <c r="O986" s="133"/>
    </row>
    <row r="987" spans="1:15" ht="7.5" customHeight="1">
      <c r="A987" s="80"/>
      <c r="K987" s="81"/>
      <c r="M987" s="134"/>
      <c r="N987" s="134"/>
      <c r="O987" s="133"/>
    </row>
    <row r="988" spans="1:15" ht="12.75" customHeight="1">
      <c r="A988" s="80"/>
      <c r="B988" s="82" t="s">
        <v>67</v>
      </c>
      <c r="C988" s="581" t="s">
        <v>66</v>
      </c>
      <c r="D988" s="582"/>
      <c r="E988" s="582"/>
      <c r="F988" s="582"/>
      <c r="G988" s="582"/>
      <c r="H988" s="582"/>
      <c r="I988" s="582"/>
      <c r="J988" s="583"/>
      <c r="K988" s="81"/>
      <c r="M988" s="134"/>
      <c r="N988" s="134"/>
      <c r="O988" s="133"/>
    </row>
    <row r="989" spans="1:15" ht="7.5" customHeight="1">
      <c r="A989" s="80"/>
      <c r="B989" s="79"/>
      <c r="D989" s="78"/>
      <c r="E989" s="78"/>
      <c r="F989" s="78"/>
      <c r="G989" s="78"/>
      <c r="H989" s="78"/>
      <c r="I989" s="78"/>
      <c r="K989" s="77"/>
      <c r="M989" s="134"/>
      <c r="N989" s="134"/>
      <c r="O989" s="133"/>
    </row>
    <row r="990" spans="1:15" ht="12.75" customHeight="1">
      <c r="A990" s="584" t="s">
        <v>84</v>
      </c>
      <c r="B990" s="585" t="s">
        <v>83</v>
      </c>
      <c r="C990" s="585" t="s">
        <v>82</v>
      </c>
      <c r="D990" s="585" t="s">
        <v>81</v>
      </c>
      <c r="E990" s="564" t="s">
        <v>80</v>
      </c>
      <c r="F990" s="564"/>
      <c r="G990" s="564"/>
      <c r="H990" s="564" t="s">
        <v>79</v>
      </c>
      <c r="I990" s="564"/>
      <c r="J990" s="564"/>
      <c r="K990" s="565" t="s">
        <v>58</v>
      </c>
      <c r="M990" s="134"/>
      <c r="N990" s="134"/>
      <c r="O990" s="133"/>
    </row>
    <row r="991" spans="1:15" ht="12.75" customHeight="1">
      <c r="A991" s="584"/>
      <c r="B991" s="585"/>
      <c r="C991" s="585"/>
      <c r="D991" s="585"/>
      <c r="E991" s="125" t="s">
        <v>78</v>
      </c>
      <c r="F991" s="125" t="s">
        <v>77</v>
      </c>
      <c r="G991" s="125" t="s">
        <v>76</v>
      </c>
      <c r="H991" s="125" t="s">
        <v>75</v>
      </c>
      <c r="I991" s="125" t="s">
        <v>74</v>
      </c>
      <c r="J991" s="125" t="s">
        <v>73</v>
      </c>
      <c r="K991" s="565"/>
      <c r="M991" s="134"/>
      <c r="N991" s="134"/>
      <c r="O991" s="133"/>
    </row>
    <row r="992" spans="1:15" ht="12.75" customHeight="1">
      <c r="A992" s="584"/>
      <c r="B992" s="585"/>
      <c r="C992" s="585"/>
      <c r="D992" s="585"/>
      <c r="E992" s="125" t="s">
        <v>70</v>
      </c>
      <c r="F992" s="125" t="s">
        <v>70</v>
      </c>
      <c r="G992" s="125" t="s">
        <v>70</v>
      </c>
      <c r="H992" s="125" t="s">
        <v>72</v>
      </c>
      <c r="I992" s="125" t="s">
        <v>71</v>
      </c>
      <c r="J992" s="125" t="s">
        <v>70</v>
      </c>
      <c r="K992" s="565"/>
      <c r="M992" s="134"/>
      <c r="N992" s="134"/>
      <c r="O992" s="133"/>
    </row>
    <row r="993" spans="1:15" ht="12.75" customHeight="1">
      <c r="A993" s="66">
        <v>12</v>
      </c>
      <c r="B993" s="65" t="s">
        <v>123</v>
      </c>
      <c r="C993" s="64" t="s">
        <v>48</v>
      </c>
      <c r="D993" s="76"/>
      <c r="E993" s="75"/>
      <c r="F993" s="75"/>
      <c r="G993" s="75"/>
      <c r="H993" s="75"/>
      <c r="I993" s="75"/>
      <c r="J993" s="74"/>
      <c r="K993" s="63"/>
      <c r="M993" s="134"/>
      <c r="N993" s="134"/>
      <c r="O993" s="133"/>
    </row>
    <row r="994" spans="1:15" ht="12.6" customHeight="1">
      <c r="A994" s="118"/>
      <c r="B994" s="237" t="s">
        <v>581</v>
      </c>
      <c r="C994" s="93"/>
      <c r="D994" s="69">
        <v>1</v>
      </c>
      <c r="E994" s="68">
        <v>0.25</v>
      </c>
      <c r="F994" s="68">
        <v>0.5</v>
      </c>
      <c r="G994" s="68">
        <v>4.5</v>
      </c>
      <c r="H994" s="68">
        <f t="shared" si="64"/>
        <v>0.5625</v>
      </c>
      <c r="I994" s="68"/>
      <c r="J994" s="114"/>
      <c r="K994" s="117"/>
      <c r="M994" s="134"/>
      <c r="N994" s="134"/>
      <c r="O994" s="133"/>
    </row>
    <row r="995" spans="1:15" ht="12.6" customHeight="1">
      <c r="A995" s="118"/>
      <c r="B995" s="237" t="s">
        <v>582</v>
      </c>
      <c r="C995" s="93"/>
      <c r="D995" s="69">
        <v>1</v>
      </c>
      <c r="E995" s="68">
        <v>0.3</v>
      </c>
      <c r="F995" s="68">
        <v>0.7</v>
      </c>
      <c r="G995" s="68">
        <v>6.9</v>
      </c>
      <c r="H995" s="68">
        <f t="shared" si="64"/>
        <v>1.4490000000000001</v>
      </c>
      <c r="I995" s="68"/>
      <c r="J995" s="114"/>
      <c r="K995" s="117"/>
      <c r="M995" s="134"/>
      <c r="N995" s="134"/>
      <c r="O995" s="133"/>
    </row>
    <row r="996" spans="1:15" ht="12.6" customHeight="1">
      <c r="A996" s="118"/>
      <c r="B996" s="237" t="s">
        <v>583</v>
      </c>
      <c r="C996" s="93"/>
      <c r="D996" s="69">
        <v>1</v>
      </c>
      <c r="E996" s="68">
        <v>0.3</v>
      </c>
      <c r="F996" s="68">
        <v>0.7</v>
      </c>
      <c r="G996" s="68">
        <v>6.9</v>
      </c>
      <c r="H996" s="68">
        <f t="shared" si="64"/>
        <v>1.4490000000000001</v>
      </c>
      <c r="I996" s="68"/>
      <c r="J996" s="114"/>
      <c r="K996" s="117"/>
      <c r="M996" s="134"/>
      <c r="N996" s="134"/>
      <c r="O996" s="133"/>
    </row>
    <row r="997" spans="1:15" ht="12.6" customHeight="1">
      <c r="A997" s="115"/>
      <c r="B997" s="231" t="s">
        <v>584</v>
      </c>
      <c r="C997" s="140"/>
      <c r="D997" s="71">
        <v>1</v>
      </c>
      <c r="E997" s="70">
        <v>0.25</v>
      </c>
      <c r="F997" s="70">
        <v>0.6</v>
      </c>
      <c r="G997" s="70">
        <v>5.8</v>
      </c>
      <c r="H997" s="70">
        <f t="shared" si="64"/>
        <v>0.87</v>
      </c>
      <c r="I997" s="70"/>
      <c r="J997" s="141"/>
      <c r="K997" s="113"/>
      <c r="M997" s="134"/>
      <c r="N997" s="134"/>
      <c r="O997" s="133"/>
    </row>
    <row r="998" spans="1:15" ht="12.6" customHeight="1">
      <c r="A998" s="232"/>
      <c r="B998" s="233" t="s">
        <v>585</v>
      </c>
      <c r="C998" s="234"/>
      <c r="D998" s="235">
        <v>1</v>
      </c>
      <c r="E998" s="170">
        <v>0.15</v>
      </c>
      <c r="F998" s="170">
        <v>0.3</v>
      </c>
      <c r="G998" s="170">
        <v>2.2999999999999998</v>
      </c>
      <c r="H998" s="170">
        <f t="shared" si="64"/>
        <v>0.10349999999999999</v>
      </c>
      <c r="I998" s="170"/>
      <c r="J998" s="171"/>
      <c r="K998" s="172"/>
      <c r="M998" s="134"/>
      <c r="N998" s="134"/>
      <c r="O998" s="133"/>
    </row>
    <row r="999" spans="1:15" ht="12.6" customHeight="1">
      <c r="A999" s="232"/>
      <c r="B999" s="233" t="s">
        <v>586</v>
      </c>
      <c r="C999" s="234"/>
      <c r="D999" s="235">
        <v>1</v>
      </c>
      <c r="E999" s="170">
        <v>0.15</v>
      </c>
      <c r="F999" s="170">
        <v>0.3</v>
      </c>
      <c r="G999" s="170">
        <v>2.2999999999999998</v>
      </c>
      <c r="H999" s="170">
        <f t="shared" si="64"/>
        <v>0.10349999999999999</v>
      </c>
      <c r="I999" s="170"/>
      <c r="J999" s="171"/>
      <c r="K999" s="172"/>
      <c r="M999" s="134"/>
      <c r="N999" s="134"/>
      <c r="O999" s="133"/>
    </row>
    <row r="1000" spans="1:15" ht="12.6" customHeight="1">
      <c r="A1000" s="108"/>
      <c r="B1000" s="236" t="s">
        <v>587</v>
      </c>
      <c r="C1000" s="104"/>
      <c r="D1000" s="73">
        <v>1</v>
      </c>
      <c r="E1000" s="72">
        <v>0.25</v>
      </c>
      <c r="F1000" s="72">
        <v>0.5</v>
      </c>
      <c r="G1000" s="72">
        <v>2.13</v>
      </c>
      <c r="H1000" s="72">
        <f t="shared" ref="H1000:H1030" si="65">PRODUCT(D1000:G1000)</f>
        <v>0.26624999999999999</v>
      </c>
      <c r="I1000" s="72"/>
      <c r="J1000" s="124"/>
      <c r="K1000" s="107"/>
      <c r="M1000" s="134"/>
      <c r="N1000" s="134"/>
      <c r="O1000" s="133"/>
    </row>
    <row r="1001" spans="1:15" ht="12.6" customHeight="1">
      <c r="A1001" s="118"/>
      <c r="B1001" s="237" t="s">
        <v>588</v>
      </c>
      <c r="C1001" s="93"/>
      <c r="D1001" s="69">
        <v>1</v>
      </c>
      <c r="E1001" s="68">
        <v>0.25</v>
      </c>
      <c r="F1001" s="68">
        <v>0.5</v>
      </c>
      <c r="G1001" s="68">
        <v>4.5</v>
      </c>
      <c r="H1001" s="68">
        <f t="shared" si="65"/>
        <v>0.5625</v>
      </c>
      <c r="I1001" s="68"/>
      <c r="J1001" s="114"/>
      <c r="K1001" s="117"/>
      <c r="M1001" s="134"/>
      <c r="N1001" s="134"/>
      <c r="O1001" s="133"/>
    </row>
    <row r="1002" spans="1:15" ht="12.6" customHeight="1">
      <c r="A1002" s="118"/>
      <c r="B1002" s="237" t="s">
        <v>589</v>
      </c>
      <c r="C1002" s="93"/>
      <c r="D1002" s="69">
        <v>1</v>
      </c>
      <c r="E1002" s="68">
        <v>0.3</v>
      </c>
      <c r="F1002" s="68">
        <v>0.7</v>
      </c>
      <c r="G1002" s="68">
        <v>6.9</v>
      </c>
      <c r="H1002" s="68">
        <f t="shared" si="65"/>
        <v>1.4490000000000001</v>
      </c>
      <c r="I1002" s="68"/>
      <c r="J1002" s="114"/>
      <c r="K1002" s="117"/>
      <c r="M1002" s="134"/>
      <c r="N1002" s="134"/>
      <c r="O1002" s="133"/>
    </row>
    <row r="1003" spans="1:15" ht="12.6" customHeight="1">
      <c r="A1003" s="118"/>
      <c r="B1003" s="237" t="s">
        <v>590</v>
      </c>
      <c r="C1003" s="93"/>
      <c r="D1003" s="69">
        <v>1</v>
      </c>
      <c r="E1003" s="68">
        <v>0.3</v>
      </c>
      <c r="F1003" s="68">
        <v>0.7</v>
      </c>
      <c r="G1003" s="68">
        <v>6.9</v>
      </c>
      <c r="H1003" s="68">
        <f t="shared" si="65"/>
        <v>1.4490000000000001</v>
      </c>
      <c r="I1003" s="68"/>
      <c r="J1003" s="114"/>
      <c r="K1003" s="117"/>
      <c r="M1003" s="134"/>
      <c r="N1003" s="134"/>
      <c r="O1003" s="133"/>
    </row>
    <row r="1004" spans="1:15" ht="12.6" customHeight="1">
      <c r="A1004" s="115"/>
      <c r="B1004" s="231" t="s">
        <v>591</v>
      </c>
      <c r="C1004" s="140"/>
      <c r="D1004" s="71">
        <v>1</v>
      </c>
      <c r="E1004" s="70">
        <v>0.25</v>
      </c>
      <c r="F1004" s="70">
        <v>0.6</v>
      </c>
      <c r="G1004" s="70">
        <v>5.8</v>
      </c>
      <c r="H1004" s="70">
        <f t="shared" si="65"/>
        <v>0.87</v>
      </c>
      <c r="I1004" s="70"/>
      <c r="J1004" s="141"/>
      <c r="K1004" s="113"/>
      <c r="M1004" s="134"/>
      <c r="N1004" s="134"/>
      <c r="O1004" s="133"/>
    </row>
    <row r="1005" spans="1:15" ht="12.6" customHeight="1">
      <c r="A1005" s="108"/>
      <c r="B1005" s="236" t="s">
        <v>593</v>
      </c>
      <c r="C1005" s="104"/>
      <c r="D1005" s="73">
        <v>1</v>
      </c>
      <c r="E1005" s="72">
        <v>0.25</v>
      </c>
      <c r="F1005" s="72">
        <v>0.5</v>
      </c>
      <c r="G1005" s="72">
        <v>2.1</v>
      </c>
      <c r="H1005" s="72">
        <f t="shared" si="65"/>
        <v>0.26250000000000001</v>
      </c>
      <c r="I1005" s="72"/>
      <c r="J1005" s="124"/>
      <c r="K1005" s="107"/>
      <c r="M1005" s="134"/>
      <c r="N1005" s="134"/>
      <c r="O1005" s="133"/>
    </row>
    <row r="1006" spans="1:15" ht="12.6" customHeight="1">
      <c r="A1006" s="118"/>
      <c r="B1006" s="237" t="s">
        <v>594</v>
      </c>
      <c r="C1006" s="93"/>
      <c r="D1006" s="69">
        <v>1</v>
      </c>
      <c r="E1006" s="68">
        <v>0.3</v>
      </c>
      <c r="F1006" s="68">
        <v>0.7</v>
      </c>
      <c r="G1006" s="68">
        <v>6.95</v>
      </c>
      <c r="H1006" s="68">
        <f t="shared" si="65"/>
        <v>1.4595</v>
      </c>
      <c r="I1006" s="68"/>
      <c r="J1006" s="114"/>
      <c r="K1006" s="117"/>
      <c r="M1006" s="134"/>
      <c r="N1006" s="134"/>
      <c r="O1006" s="133"/>
    </row>
    <row r="1007" spans="1:15" ht="12.6" customHeight="1">
      <c r="A1007" s="118"/>
      <c r="B1007" s="237" t="s">
        <v>595</v>
      </c>
      <c r="C1007" s="93"/>
      <c r="D1007" s="69">
        <v>1</v>
      </c>
      <c r="E1007" s="68">
        <v>0.3</v>
      </c>
      <c r="F1007" s="68">
        <v>0.7</v>
      </c>
      <c r="G1007" s="68">
        <v>6.9</v>
      </c>
      <c r="H1007" s="68">
        <f t="shared" si="65"/>
        <v>1.4490000000000001</v>
      </c>
      <c r="I1007" s="68"/>
      <c r="J1007" s="114"/>
      <c r="K1007" s="117"/>
      <c r="M1007" s="134"/>
      <c r="N1007" s="134"/>
      <c r="O1007" s="133"/>
    </row>
    <row r="1008" spans="1:15" ht="12.6" customHeight="1">
      <c r="A1008" s="118"/>
      <c r="B1008" s="237" t="s">
        <v>596</v>
      </c>
      <c r="C1008" s="93"/>
      <c r="D1008" s="69">
        <v>1</v>
      </c>
      <c r="E1008" s="68">
        <v>0.3</v>
      </c>
      <c r="F1008" s="68">
        <v>0.7</v>
      </c>
      <c r="G1008" s="68">
        <v>6.9</v>
      </c>
      <c r="H1008" s="68">
        <f t="shared" si="65"/>
        <v>1.4490000000000001</v>
      </c>
      <c r="I1008" s="68"/>
      <c r="J1008" s="114"/>
      <c r="K1008" s="117"/>
      <c r="M1008" s="134"/>
      <c r="N1008" s="134"/>
      <c r="O1008" s="133"/>
    </row>
    <row r="1009" spans="1:15" ht="12.6" customHeight="1">
      <c r="A1009" s="118"/>
      <c r="B1009" s="231" t="s">
        <v>592</v>
      </c>
      <c r="C1009" s="140"/>
      <c r="D1009" s="71">
        <v>1</v>
      </c>
      <c r="E1009" s="70">
        <v>0.25</v>
      </c>
      <c r="F1009" s="70">
        <v>0.5</v>
      </c>
      <c r="G1009" s="70">
        <v>2.0499999999999998</v>
      </c>
      <c r="H1009" s="70">
        <f t="shared" si="65"/>
        <v>0.25624999999999998</v>
      </c>
      <c r="I1009" s="68"/>
      <c r="J1009" s="114"/>
      <c r="K1009" s="117"/>
      <c r="M1009" s="134"/>
      <c r="N1009" s="134"/>
      <c r="O1009" s="133"/>
    </row>
    <row r="1010" spans="1:15" ht="12.6" customHeight="1">
      <c r="A1010" s="108"/>
      <c r="B1010" s="236" t="s">
        <v>597</v>
      </c>
      <c r="C1010" s="104"/>
      <c r="D1010" s="73">
        <v>1</v>
      </c>
      <c r="E1010" s="72">
        <v>0.25</v>
      </c>
      <c r="F1010" s="72">
        <v>0.5</v>
      </c>
      <c r="G1010" s="72">
        <v>3.8</v>
      </c>
      <c r="H1010" s="72">
        <f t="shared" si="65"/>
        <v>0.47499999999999998</v>
      </c>
      <c r="I1010" s="72"/>
      <c r="J1010" s="124"/>
      <c r="K1010" s="107"/>
      <c r="M1010" s="134"/>
      <c r="N1010" s="134"/>
      <c r="O1010" s="133"/>
    </row>
    <row r="1011" spans="1:15" ht="12.6" customHeight="1">
      <c r="A1011" s="118"/>
      <c r="B1011" s="237" t="s">
        <v>598</v>
      </c>
      <c r="C1011" s="93"/>
      <c r="D1011" s="69">
        <v>1</v>
      </c>
      <c r="E1011" s="68">
        <v>0.25</v>
      </c>
      <c r="F1011" s="68">
        <v>0.5</v>
      </c>
      <c r="G1011" s="68">
        <v>3.59</v>
      </c>
      <c r="H1011" s="68">
        <f t="shared" si="65"/>
        <v>0.44874999999999998</v>
      </c>
      <c r="I1011" s="68"/>
      <c r="J1011" s="114"/>
      <c r="K1011" s="117"/>
      <c r="M1011" s="134"/>
      <c r="N1011" s="134"/>
      <c r="O1011" s="133"/>
    </row>
    <row r="1012" spans="1:15" ht="12.6" customHeight="1">
      <c r="A1012" s="118"/>
      <c r="B1012" s="237" t="s">
        <v>599</v>
      </c>
      <c r="C1012" s="93"/>
      <c r="D1012" s="69">
        <v>1</v>
      </c>
      <c r="E1012" s="68">
        <v>0.25</v>
      </c>
      <c r="F1012" s="68">
        <v>0.5</v>
      </c>
      <c r="G1012" s="68">
        <v>4.01</v>
      </c>
      <c r="H1012" s="68">
        <f t="shared" si="65"/>
        <v>0.50124999999999997</v>
      </c>
      <c r="I1012" s="68"/>
      <c r="J1012" s="114"/>
      <c r="K1012" s="117"/>
      <c r="M1012" s="134"/>
      <c r="N1012" s="134"/>
      <c r="O1012" s="133"/>
    </row>
    <row r="1013" spans="1:15" ht="12.6" customHeight="1">
      <c r="A1013" s="118"/>
      <c r="B1013" s="237" t="s">
        <v>600</v>
      </c>
      <c r="C1013" s="93"/>
      <c r="D1013" s="69">
        <v>1</v>
      </c>
      <c r="E1013" s="68">
        <v>0.25</v>
      </c>
      <c r="F1013" s="68">
        <v>0.5</v>
      </c>
      <c r="G1013" s="68">
        <v>4.55</v>
      </c>
      <c r="H1013" s="68">
        <f t="shared" si="65"/>
        <v>0.56874999999999998</v>
      </c>
      <c r="I1013" s="68"/>
      <c r="J1013" s="114"/>
      <c r="K1013" s="117"/>
      <c r="M1013" s="134"/>
      <c r="N1013" s="134"/>
      <c r="O1013" s="133"/>
    </row>
    <row r="1014" spans="1:15" ht="12.6" customHeight="1">
      <c r="A1014" s="118"/>
      <c r="B1014" s="237" t="s">
        <v>601</v>
      </c>
      <c r="C1014" s="93"/>
      <c r="D1014" s="69">
        <v>1</v>
      </c>
      <c r="E1014" s="68">
        <v>0.25</v>
      </c>
      <c r="F1014" s="68">
        <v>0.5</v>
      </c>
      <c r="G1014" s="68">
        <v>4.55</v>
      </c>
      <c r="H1014" s="68">
        <f t="shared" si="65"/>
        <v>0.56874999999999998</v>
      </c>
      <c r="I1014" s="68"/>
      <c r="J1014" s="114"/>
      <c r="K1014" s="117"/>
      <c r="M1014" s="134"/>
      <c r="N1014" s="134"/>
      <c r="O1014" s="133"/>
    </row>
    <row r="1015" spans="1:15" ht="12.6" customHeight="1">
      <c r="A1015" s="118"/>
      <c r="B1015" s="237" t="s">
        <v>602</v>
      </c>
      <c r="C1015" s="93"/>
      <c r="D1015" s="69">
        <v>1</v>
      </c>
      <c r="E1015" s="68">
        <v>0.25</v>
      </c>
      <c r="F1015" s="68">
        <v>0.5</v>
      </c>
      <c r="G1015" s="68">
        <v>2.17</v>
      </c>
      <c r="H1015" s="68">
        <f t="shared" si="65"/>
        <v>0.27124999999999999</v>
      </c>
      <c r="I1015" s="68"/>
      <c r="J1015" s="114"/>
      <c r="K1015" s="117"/>
      <c r="M1015" s="134"/>
      <c r="N1015" s="134"/>
      <c r="O1015" s="133"/>
    </row>
    <row r="1016" spans="1:15" ht="12.6" customHeight="1">
      <c r="A1016" s="115"/>
      <c r="B1016" s="231" t="s">
        <v>603</v>
      </c>
      <c r="C1016" s="140"/>
      <c r="D1016" s="71">
        <v>1</v>
      </c>
      <c r="E1016" s="70">
        <v>0.25</v>
      </c>
      <c r="F1016" s="70">
        <v>0.6</v>
      </c>
      <c r="G1016" s="70">
        <v>4.72</v>
      </c>
      <c r="H1016" s="70">
        <f t="shared" si="65"/>
        <v>0.70799999999999996</v>
      </c>
      <c r="I1016" s="70"/>
      <c r="J1016" s="141"/>
      <c r="K1016" s="113"/>
      <c r="M1016" s="134"/>
      <c r="N1016" s="134"/>
      <c r="O1016" s="133"/>
    </row>
    <row r="1017" spans="1:15" ht="12.6" customHeight="1">
      <c r="A1017" s="232"/>
      <c r="B1017" s="233" t="s">
        <v>604</v>
      </c>
      <c r="C1017" s="234"/>
      <c r="D1017" s="235">
        <v>1</v>
      </c>
      <c r="E1017" s="170">
        <v>0.25</v>
      </c>
      <c r="F1017" s="170">
        <v>0.6</v>
      </c>
      <c r="G1017" s="170">
        <v>4.5999999999999996</v>
      </c>
      <c r="H1017" s="170">
        <f t="shared" si="65"/>
        <v>0.69</v>
      </c>
      <c r="I1017" s="170"/>
      <c r="J1017" s="171"/>
      <c r="K1017" s="172"/>
      <c r="M1017" s="134"/>
      <c r="N1017" s="134"/>
      <c r="O1017" s="133"/>
    </row>
    <row r="1018" spans="1:15" ht="12.6" customHeight="1">
      <c r="A1018" s="108"/>
      <c r="B1018" s="236" t="s">
        <v>605</v>
      </c>
      <c r="C1018" s="104"/>
      <c r="D1018" s="73">
        <v>1</v>
      </c>
      <c r="E1018" s="72">
        <v>0.25</v>
      </c>
      <c r="F1018" s="72">
        <v>0.5</v>
      </c>
      <c r="G1018" s="72">
        <v>2.1</v>
      </c>
      <c r="H1018" s="72">
        <f t="shared" si="65"/>
        <v>0.26250000000000001</v>
      </c>
      <c r="I1018" s="72"/>
      <c r="J1018" s="124"/>
      <c r="K1018" s="107"/>
      <c r="M1018" s="134"/>
      <c r="N1018" s="134"/>
      <c r="O1018" s="133"/>
    </row>
    <row r="1019" spans="1:15" ht="12.6" customHeight="1">
      <c r="A1019" s="115"/>
      <c r="B1019" s="231" t="s">
        <v>606</v>
      </c>
      <c r="C1019" s="140"/>
      <c r="D1019" s="71">
        <v>1</v>
      </c>
      <c r="E1019" s="70">
        <v>0.25</v>
      </c>
      <c r="F1019" s="70">
        <v>0.6</v>
      </c>
      <c r="G1019" s="70">
        <v>4.59</v>
      </c>
      <c r="H1019" s="70">
        <f t="shared" si="65"/>
        <v>0.6885</v>
      </c>
      <c r="I1019" s="70"/>
      <c r="J1019" s="141"/>
      <c r="K1019" s="113"/>
      <c r="M1019" s="134"/>
      <c r="N1019" s="134"/>
      <c r="O1019" s="133"/>
    </row>
    <row r="1020" spans="1:15" ht="12.6" customHeight="1">
      <c r="A1020" s="232"/>
      <c r="B1020" s="233" t="s">
        <v>607</v>
      </c>
      <c r="C1020" s="234"/>
      <c r="D1020" s="235">
        <v>1</v>
      </c>
      <c r="E1020" s="170">
        <v>0.25</v>
      </c>
      <c r="F1020" s="170">
        <v>0.6</v>
      </c>
      <c r="G1020" s="170">
        <v>4.7</v>
      </c>
      <c r="H1020" s="170">
        <f t="shared" si="65"/>
        <v>0.70499999999999996</v>
      </c>
      <c r="I1020" s="170"/>
      <c r="J1020" s="171"/>
      <c r="K1020" s="172"/>
      <c r="M1020" s="134"/>
      <c r="N1020" s="134"/>
      <c r="O1020" s="133"/>
    </row>
    <row r="1021" spans="1:15" ht="12.6" customHeight="1">
      <c r="A1021" s="108"/>
      <c r="B1021" s="236" t="s">
        <v>608</v>
      </c>
      <c r="C1021" s="104"/>
      <c r="D1021" s="73">
        <v>1</v>
      </c>
      <c r="E1021" s="72">
        <v>0.25</v>
      </c>
      <c r="F1021" s="72">
        <v>0.5</v>
      </c>
      <c r="G1021" s="72">
        <v>3.8</v>
      </c>
      <c r="H1021" s="72">
        <f t="shared" si="65"/>
        <v>0.47499999999999998</v>
      </c>
      <c r="I1021" s="72"/>
      <c r="J1021" s="124"/>
      <c r="K1021" s="107"/>
      <c r="M1021" s="134"/>
      <c r="N1021" s="134"/>
      <c r="O1021" s="133"/>
    </row>
    <row r="1022" spans="1:15" ht="12.6" customHeight="1">
      <c r="A1022" s="118"/>
      <c r="B1022" s="237" t="s">
        <v>609</v>
      </c>
      <c r="C1022" s="93"/>
      <c r="D1022" s="69">
        <v>1</v>
      </c>
      <c r="E1022" s="68">
        <v>0.25</v>
      </c>
      <c r="F1022" s="68">
        <v>0.5</v>
      </c>
      <c r="G1022" s="68">
        <v>3.59</v>
      </c>
      <c r="H1022" s="68">
        <f t="shared" si="65"/>
        <v>0.44874999999999998</v>
      </c>
      <c r="I1022" s="68"/>
      <c r="J1022" s="114"/>
      <c r="K1022" s="117"/>
      <c r="M1022" s="134"/>
      <c r="N1022" s="134"/>
      <c r="O1022" s="133"/>
    </row>
    <row r="1023" spans="1:15" ht="12.6" customHeight="1">
      <c r="A1023" s="118"/>
      <c r="B1023" s="237" t="s">
        <v>610</v>
      </c>
      <c r="C1023" s="93"/>
      <c r="D1023" s="69">
        <v>1</v>
      </c>
      <c r="E1023" s="68">
        <v>0.25</v>
      </c>
      <c r="F1023" s="68">
        <v>0.5</v>
      </c>
      <c r="G1023" s="68">
        <v>4.01</v>
      </c>
      <c r="H1023" s="68">
        <f t="shared" si="65"/>
        <v>0.50124999999999997</v>
      </c>
      <c r="I1023" s="68"/>
      <c r="J1023" s="114"/>
      <c r="K1023" s="117"/>
      <c r="M1023" s="134"/>
      <c r="N1023" s="134"/>
      <c r="O1023" s="133"/>
    </row>
    <row r="1024" spans="1:15" ht="12.6" customHeight="1">
      <c r="A1024" s="118"/>
      <c r="B1024" s="237" t="s">
        <v>611</v>
      </c>
      <c r="C1024" s="93"/>
      <c r="D1024" s="69">
        <v>1</v>
      </c>
      <c r="E1024" s="68">
        <v>0.25</v>
      </c>
      <c r="F1024" s="68">
        <v>0.5</v>
      </c>
      <c r="G1024" s="68">
        <v>4.7</v>
      </c>
      <c r="H1024" s="68">
        <f t="shared" si="65"/>
        <v>0.58750000000000002</v>
      </c>
      <c r="I1024" s="68"/>
      <c r="J1024" s="114"/>
      <c r="K1024" s="117"/>
      <c r="M1024" s="134"/>
      <c r="N1024" s="134"/>
      <c r="O1024" s="133"/>
    </row>
    <row r="1025" spans="1:15" ht="12.6" customHeight="1">
      <c r="A1025" s="115"/>
      <c r="B1025" s="231" t="s">
        <v>612</v>
      </c>
      <c r="C1025" s="140"/>
      <c r="D1025" s="71">
        <v>1</v>
      </c>
      <c r="E1025" s="70">
        <v>0.25</v>
      </c>
      <c r="F1025" s="70">
        <v>0.5</v>
      </c>
      <c r="G1025" s="70">
        <v>4.7</v>
      </c>
      <c r="H1025" s="70">
        <f t="shared" si="65"/>
        <v>0.58750000000000002</v>
      </c>
      <c r="I1025" s="70"/>
      <c r="J1025" s="141"/>
      <c r="K1025" s="113"/>
      <c r="M1025" s="134"/>
      <c r="N1025" s="134"/>
      <c r="O1025" s="133"/>
    </row>
    <row r="1026" spans="1:15" ht="12.6" customHeight="1">
      <c r="A1026" s="108"/>
      <c r="B1026" s="236" t="s">
        <v>613</v>
      </c>
      <c r="C1026" s="104"/>
      <c r="D1026" s="73">
        <v>2</v>
      </c>
      <c r="E1026" s="72">
        <v>0.3</v>
      </c>
      <c r="F1026" s="72">
        <v>0.25</v>
      </c>
      <c r="G1026" s="72">
        <v>3.54</v>
      </c>
      <c r="H1026" s="72">
        <f t="shared" si="65"/>
        <v>0.53100000000000003</v>
      </c>
      <c r="I1026" s="72"/>
      <c r="J1026" s="124"/>
      <c r="K1026" s="107"/>
      <c r="M1026" s="134"/>
      <c r="N1026" s="134"/>
      <c r="O1026" s="133"/>
    </row>
    <row r="1027" spans="1:15" ht="12.6" customHeight="1">
      <c r="A1027" s="118"/>
      <c r="B1027" s="237" t="s">
        <v>614</v>
      </c>
      <c r="C1027" s="93"/>
      <c r="D1027" s="69">
        <v>2</v>
      </c>
      <c r="E1027" s="68">
        <v>0.3</v>
      </c>
      <c r="F1027" s="68">
        <v>0.25</v>
      </c>
      <c r="G1027" s="68">
        <v>2.98</v>
      </c>
      <c r="H1027" s="68">
        <f t="shared" si="65"/>
        <v>0.44700000000000001</v>
      </c>
      <c r="I1027" s="68"/>
      <c r="J1027" s="114"/>
      <c r="K1027" s="117"/>
      <c r="M1027" s="134"/>
      <c r="N1027" s="134"/>
      <c r="O1027" s="133"/>
    </row>
    <row r="1028" spans="1:15" ht="12.6" customHeight="1">
      <c r="A1028" s="118"/>
      <c r="B1028" s="237" t="s">
        <v>615</v>
      </c>
      <c r="C1028" s="93"/>
      <c r="D1028" s="69">
        <v>2</v>
      </c>
      <c r="E1028" s="68">
        <v>0.3</v>
      </c>
      <c r="F1028" s="68">
        <v>0.25</v>
      </c>
      <c r="G1028" s="68">
        <f>2.39+0.37</f>
        <v>2.7600000000000002</v>
      </c>
      <c r="H1028" s="68">
        <f t="shared" si="65"/>
        <v>0.41400000000000003</v>
      </c>
      <c r="I1028" s="68"/>
      <c r="J1028" s="114"/>
      <c r="K1028" s="117"/>
      <c r="M1028" s="134"/>
      <c r="N1028" s="134"/>
      <c r="O1028" s="133"/>
    </row>
    <row r="1029" spans="1:15" ht="12.6" customHeight="1">
      <c r="A1029" s="115"/>
      <c r="B1029" s="231" t="s">
        <v>616</v>
      </c>
      <c r="C1029" s="140"/>
      <c r="D1029" s="71">
        <v>2</v>
      </c>
      <c r="E1029" s="70">
        <v>0.3</v>
      </c>
      <c r="F1029" s="70">
        <v>0.25</v>
      </c>
      <c r="G1029" s="70">
        <v>2</v>
      </c>
      <c r="H1029" s="70">
        <f t="shared" si="65"/>
        <v>0.3</v>
      </c>
      <c r="I1029" s="70"/>
      <c r="J1029" s="141"/>
      <c r="K1029" s="113"/>
      <c r="M1029" s="134"/>
      <c r="N1029" s="134"/>
      <c r="O1029" s="133"/>
    </row>
    <row r="1030" spans="1:15" ht="12.6" customHeight="1">
      <c r="A1030" s="297"/>
      <c r="B1030" s="298" t="s">
        <v>670</v>
      </c>
      <c r="C1030" s="299"/>
      <c r="D1030" s="300">
        <v>1</v>
      </c>
      <c r="E1030" s="301">
        <v>0.25</v>
      </c>
      <c r="F1030" s="301">
        <v>0.7</v>
      </c>
      <c r="G1030" s="301">
        <v>7</v>
      </c>
      <c r="H1030" s="301">
        <f t="shared" si="65"/>
        <v>1.2249999999999999</v>
      </c>
      <c r="I1030" s="301"/>
      <c r="J1030" s="302"/>
      <c r="K1030" s="303"/>
      <c r="M1030" s="134"/>
      <c r="N1030" s="134"/>
      <c r="O1030" s="133"/>
    </row>
    <row r="1031" spans="1:15" ht="25.5" customHeight="1">
      <c r="A1031" s="66">
        <v>13</v>
      </c>
      <c r="B1031" s="65" t="s">
        <v>124</v>
      </c>
      <c r="C1031" s="64" t="s">
        <v>50</v>
      </c>
      <c r="D1031" s="76"/>
      <c r="E1031" s="75"/>
      <c r="F1031" s="75"/>
      <c r="G1031" s="75"/>
      <c r="H1031" s="75"/>
      <c r="I1031" s="75"/>
      <c r="J1031" s="74"/>
      <c r="K1031" s="63">
        <f>SUM(I1033:I1037)+SUM(I1053:I1096)</f>
        <v>1109.8399999999999</v>
      </c>
      <c r="M1031" s="134"/>
      <c r="N1031" s="134"/>
      <c r="O1031" s="133"/>
    </row>
    <row r="1032" spans="1:15" ht="12.6" customHeight="1">
      <c r="A1032" s="232"/>
      <c r="B1032" s="248" t="s">
        <v>618</v>
      </c>
      <c r="C1032" s="234"/>
      <c r="D1032" s="235"/>
      <c r="E1032" s="170"/>
      <c r="F1032" s="170"/>
      <c r="G1032" s="170"/>
      <c r="H1032" s="170"/>
      <c r="I1032" s="170"/>
      <c r="J1032" s="171"/>
      <c r="K1032" s="172"/>
      <c r="M1032" s="134"/>
      <c r="N1032" s="134"/>
      <c r="O1032" s="133"/>
    </row>
    <row r="1033" spans="1:15" ht="12.6" customHeight="1">
      <c r="A1033" s="108"/>
      <c r="B1033" s="236" t="s">
        <v>617</v>
      </c>
      <c r="C1033" s="104"/>
      <c r="D1033" s="73">
        <v>1</v>
      </c>
      <c r="E1033" s="250" t="s">
        <v>658</v>
      </c>
      <c r="F1033" s="72">
        <v>35.86</v>
      </c>
      <c r="G1033" s="72"/>
      <c r="H1033" s="72"/>
      <c r="I1033" s="72">
        <f>D1033*F1033</f>
        <v>35.86</v>
      </c>
      <c r="J1033" s="124"/>
      <c r="K1033" s="107"/>
      <c r="M1033" s="134"/>
      <c r="N1033" s="134"/>
      <c r="O1033" s="133"/>
    </row>
    <row r="1034" spans="1:15" ht="12.6" customHeight="1">
      <c r="A1034" s="118"/>
      <c r="B1034" s="237" t="s">
        <v>619</v>
      </c>
      <c r="C1034" s="93"/>
      <c r="D1034" s="69">
        <v>1</v>
      </c>
      <c r="E1034" s="251" t="s">
        <v>658</v>
      </c>
      <c r="F1034" s="68">
        <v>34.67</v>
      </c>
      <c r="G1034" s="68"/>
      <c r="H1034" s="68"/>
      <c r="I1034" s="68">
        <f t="shared" ref="I1034:I1088" si="66">D1034*F1034</f>
        <v>34.67</v>
      </c>
      <c r="J1034" s="114"/>
      <c r="K1034" s="117"/>
      <c r="M1034" s="134"/>
      <c r="N1034" s="134"/>
      <c r="O1034" s="133"/>
    </row>
    <row r="1035" spans="1:15" ht="12.6" customHeight="1">
      <c r="A1035" s="118"/>
      <c r="B1035" s="237" t="s">
        <v>620</v>
      </c>
      <c r="C1035" s="93"/>
      <c r="D1035" s="69">
        <v>1</v>
      </c>
      <c r="E1035" s="251" t="s">
        <v>658</v>
      </c>
      <c r="F1035" s="68">
        <v>39.71</v>
      </c>
      <c r="G1035" s="68"/>
      <c r="H1035" s="68"/>
      <c r="I1035" s="68">
        <f t="shared" si="66"/>
        <v>39.71</v>
      </c>
      <c r="J1035" s="114"/>
      <c r="K1035" s="117"/>
      <c r="M1035" s="134"/>
      <c r="N1035" s="134"/>
      <c r="O1035" s="133"/>
    </row>
    <row r="1036" spans="1:15" ht="12.6" customHeight="1">
      <c r="A1036" s="118"/>
      <c r="B1036" s="237" t="s">
        <v>621</v>
      </c>
      <c r="C1036" s="93"/>
      <c r="D1036" s="69">
        <v>1</v>
      </c>
      <c r="E1036" s="251" t="s">
        <v>658</v>
      </c>
      <c r="F1036" s="68">
        <v>45.97</v>
      </c>
      <c r="G1036" s="68"/>
      <c r="H1036" s="68"/>
      <c r="I1036" s="68">
        <f t="shared" si="66"/>
        <v>45.97</v>
      </c>
      <c r="J1036" s="114"/>
      <c r="K1036" s="117"/>
      <c r="M1036" s="134"/>
      <c r="N1036" s="134"/>
      <c r="O1036" s="133"/>
    </row>
    <row r="1037" spans="1:15" ht="12.6" customHeight="1" thickBot="1">
      <c r="A1037" s="143"/>
      <c r="B1037" s="285" t="s">
        <v>622</v>
      </c>
      <c r="C1037" s="144"/>
      <c r="D1037" s="95">
        <v>1</v>
      </c>
      <c r="E1037" s="286" t="s">
        <v>658</v>
      </c>
      <c r="F1037" s="92">
        <v>45.86</v>
      </c>
      <c r="G1037" s="92"/>
      <c r="H1037" s="92"/>
      <c r="I1037" s="92">
        <f t="shared" si="66"/>
        <v>45.86</v>
      </c>
      <c r="J1037" s="145"/>
      <c r="K1037" s="146"/>
      <c r="M1037" s="134"/>
      <c r="N1037" s="134"/>
      <c r="O1037" s="133"/>
    </row>
    <row r="1038" spans="1:15" ht="12.75" customHeight="1" thickTop="1">
      <c r="A1038" s="91"/>
      <c r="B1038" s="90"/>
      <c r="C1038" s="90"/>
      <c r="D1038" s="90"/>
      <c r="E1038" s="90"/>
      <c r="F1038" s="90"/>
      <c r="G1038" s="90"/>
      <c r="H1038" s="90"/>
      <c r="I1038" s="90"/>
      <c r="J1038" s="90"/>
      <c r="K1038" s="89"/>
      <c r="M1038" s="134"/>
      <c r="N1038" s="134"/>
      <c r="O1038" s="133"/>
    </row>
    <row r="1039" spans="1:15" ht="16.5" customHeight="1">
      <c r="A1039" s="569" t="s">
        <v>29</v>
      </c>
      <c r="B1039" s="570"/>
      <c r="C1039" s="570"/>
      <c r="D1039" s="570"/>
      <c r="E1039" s="570"/>
      <c r="F1039" s="570"/>
      <c r="G1039" s="570"/>
      <c r="H1039" s="570"/>
      <c r="I1039" s="570"/>
      <c r="J1039" s="570"/>
      <c r="K1039" s="571"/>
      <c r="M1039" s="134"/>
      <c r="N1039" s="134"/>
      <c r="O1039" s="133"/>
    </row>
    <row r="1040" spans="1:15" ht="17.25" customHeight="1">
      <c r="A1040" s="572" t="s">
        <v>69</v>
      </c>
      <c r="B1040" s="573"/>
      <c r="C1040" s="573"/>
      <c r="D1040" s="573"/>
      <c r="E1040" s="573"/>
      <c r="F1040" s="573"/>
      <c r="G1040" s="573"/>
      <c r="H1040" s="573"/>
      <c r="I1040" s="573"/>
      <c r="J1040" s="573"/>
      <c r="K1040" s="574"/>
      <c r="M1040" s="134"/>
      <c r="N1040" s="134"/>
      <c r="O1040" s="133"/>
    </row>
    <row r="1041" spans="1:15" ht="12" customHeight="1">
      <c r="A1041" s="88"/>
      <c r="B1041" s="85"/>
      <c r="C1041" s="85"/>
      <c r="D1041" s="85"/>
      <c r="E1041" s="85"/>
      <c r="F1041" s="85"/>
      <c r="G1041" s="85"/>
      <c r="H1041" s="85"/>
      <c r="I1041" s="85"/>
      <c r="J1041" s="85"/>
      <c r="K1041" s="87"/>
      <c r="M1041" s="134"/>
      <c r="N1041" s="134"/>
      <c r="O1041" s="133"/>
    </row>
    <row r="1042" spans="1:15" ht="9" customHeight="1">
      <c r="A1042" s="55"/>
      <c r="B1042" s="86"/>
      <c r="C1042" s="86"/>
      <c r="D1042" s="86"/>
      <c r="E1042" s="86"/>
      <c r="F1042" s="86"/>
      <c r="G1042" s="86"/>
      <c r="H1042" s="86"/>
      <c r="I1042" s="86"/>
      <c r="J1042" s="86"/>
      <c r="K1042" s="81"/>
      <c r="M1042" s="134"/>
      <c r="N1042" s="134"/>
      <c r="O1042" s="133"/>
    </row>
    <row r="1043" spans="1:15" ht="12.75" customHeight="1">
      <c r="A1043" s="575" t="s">
        <v>68</v>
      </c>
      <c r="B1043" s="576"/>
      <c r="C1043" s="576"/>
      <c r="D1043" s="576"/>
      <c r="E1043" s="576"/>
      <c r="F1043" s="576"/>
      <c r="G1043" s="576"/>
      <c r="H1043" s="576"/>
      <c r="I1043" s="576"/>
      <c r="J1043" s="576"/>
      <c r="K1043" s="577"/>
      <c r="M1043" s="134"/>
      <c r="N1043" s="134"/>
      <c r="O1043" s="133"/>
    </row>
    <row r="1044" spans="1:15" ht="7.5" customHeight="1">
      <c r="A1044" s="55"/>
      <c r="B1044" s="86"/>
      <c r="C1044" s="86"/>
      <c r="D1044" s="86"/>
      <c r="E1044" s="86"/>
      <c r="F1044" s="86"/>
      <c r="G1044" s="86"/>
      <c r="H1044" s="86"/>
      <c r="I1044" s="86"/>
      <c r="J1044" s="85"/>
      <c r="K1044" s="81"/>
      <c r="M1044" s="134"/>
      <c r="N1044" s="134"/>
      <c r="O1044" s="133"/>
    </row>
    <row r="1045" spans="1:15" ht="12.75" customHeight="1">
      <c r="A1045" s="84"/>
      <c r="B1045" s="83" t="s">
        <v>11</v>
      </c>
      <c r="C1045" s="578" t="s">
        <v>361</v>
      </c>
      <c r="D1045" s="579"/>
      <c r="E1045" s="579"/>
      <c r="F1045" s="579"/>
      <c r="G1045" s="579"/>
      <c r="H1045" s="579"/>
      <c r="I1045" s="579"/>
      <c r="J1045" s="580"/>
      <c r="K1045" s="81"/>
      <c r="M1045" s="134"/>
      <c r="N1045" s="134"/>
      <c r="O1045" s="133"/>
    </row>
    <row r="1046" spans="1:15" ht="6.75" customHeight="1">
      <c r="A1046" s="80"/>
      <c r="K1046" s="81"/>
      <c r="M1046" s="134"/>
      <c r="N1046" s="134"/>
      <c r="O1046" s="133"/>
    </row>
    <row r="1047" spans="1:15" ht="12.75" customHeight="1">
      <c r="A1047" s="80"/>
      <c r="B1047" s="82" t="s">
        <v>67</v>
      </c>
      <c r="C1047" s="581" t="s">
        <v>66</v>
      </c>
      <c r="D1047" s="582"/>
      <c r="E1047" s="582"/>
      <c r="F1047" s="582"/>
      <c r="G1047" s="582"/>
      <c r="H1047" s="582"/>
      <c r="I1047" s="582"/>
      <c r="J1047" s="583"/>
      <c r="K1047" s="81"/>
      <c r="M1047" s="134"/>
      <c r="N1047" s="134"/>
      <c r="O1047" s="133"/>
    </row>
    <row r="1048" spans="1:15" ht="6.75" customHeight="1">
      <c r="A1048" s="80"/>
      <c r="B1048" s="79"/>
      <c r="D1048" s="78"/>
      <c r="E1048" s="78"/>
      <c r="F1048" s="78"/>
      <c r="G1048" s="78"/>
      <c r="H1048" s="78"/>
      <c r="I1048" s="78"/>
      <c r="K1048" s="77"/>
      <c r="M1048" s="134"/>
      <c r="N1048" s="134"/>
      <c r="O1048" s="133"/>
    </row>
    <row r="1049" spans="1:15" ht="12.75" customHeight="1">
      <c r="A1049" s="584" t="s">
        <v>84</v>
      </c>
      <c r="B1049" s="585" t="s">
        <v>83</v>
      </c>
      <c r="C1049" s="585" t="s">
        <v>82</v>
      </c>
      <c r="D1049" s="585" t="s">
        <v>81</v>
      </c>
      <c r="E1049" s="564" t="s">
        <v>80</v>
      </c>
      <c r="F1049" s="564"/>
      <c r="G1049" s="564"/>
      <c r="H1049" s="564" t="s">
        <v>79</v>
      </c>
      <c r="I1049" s="564"/>
      <c r="J1049" s="564"/>
      <c r="K1049" s="565" t="s">
        <v>58</v>
      </c>
      <c r="M1049" s="134"/>
      <c r="N1049" s="134"/>
      <c r="O1049" s="133"/>
    </row>
    <row r="1050" spans="1:15" ht="12.75" customHeight="1">
      <c r="A1050" s="584"/>
      <c r="B1050" s="585"/>
      <c r="C1050" s="585"/>
      <c r="D1050" s="585"/>
      <c r="E1050" s="125" t="s">
        <v>78</v>
      </c>
      <c r="F1050" s="125" t="s">
        <v>77</v>
      </c>
      <c r="G1050" s="125" t="s">
        <v>76</v>
      </c>
      <c r="H1050" s="125" t="s">
        <v>75</v>
      </c>
      <c r="I1050" s="125" t="s">
        <v>74</v>
      </c>
      <c r="J1050" s="125" t="s">
        <v>73</v>
      </c>
      <c r="K1050" s="565"/>
      <c r="M1050" s="134"/>
      <c r="N1050" s="134"/>
      <c r="O1050" s="133"/>
    </row>
    <row r="1051" spans="1:15" ht="12.75" customHeight="1">
      <c r="A1051" s="584"/>
      <c r="B1051" s="585"/>
      <c r="C1051" s="585"/>
      <c r="D1051" s="585"/>
      <c r="E1051" s="125" t="s">
        <v>70</v>
      </c>
      <c r="F1051" s="125" t="s">
        <v>70</v>
      </c>
      <c r="G1051" s="125" t="s">
        <v>70</v>
      </c>
      <c r="H1051" s="125" t="s">
        <v>72</v>
      </c>
      <c r="I1051" s="125" t="s">
        <v>71</v>
      </c>
      <c r="J1051" s="125" t="s">
        <v>70</v>
      </c>
      <c r="K1051" s="565"/>
      <c r="M1051" s="134"/>
      <c r="N1051" s="134"/>
      <c r="O1051" s="133"/>
    </row>
    <row r="1052" spans="1:15" ht="24" customHeight="1">
      <c r="A1052" s="66">
        <v>13</v>
      </c>
      <c r="B1052" s="65" t="s">
        <v>124</v>
      </c>
      <c r="C1052" s="64" t="s">
        <v>50</v>
      </c>
      <c r="D1052" s="76"/>
      <c r="E1052" s="75"/>
      <c r="F1052" s="75"/>
      <c r="G1052" s="75"/>
      <c r="H1052" s="75"/>
      <c r="I1052" s="75"/>
      <c r="J1052" s="74"/>
      <c r="K1052" s="63"/>
      <c r="M1052" s="134"/>
      <c r="N1052" s="134"/>
      <c r="O1052" s="133"/>
    </row>
    <row r="1053" spans="1:15" ht="12.6" customHeight="1">
      <c r="A1053" s="118"/>
      <c r="B1053" s="237" t="s">
        <v>623</v>
      </c>
      <c r="C1053" s="93"/>
      <c r="D1053" s="69">
        <v>1</v>
      </c>
      <c r="E1053" s="251" t="s">
        <v>658</v>
      </c>
      <c r="F1053" s="68">
        <v>45.86</v>
      </c>
      <c r="G1053" s="68"/>
      <c r="H1053" s="68"/>
      <c r="I1053" s="68">
        <f t="shared" si="66"/>
        <v>45.86</v>
      </c>
      <c r="J1053" s="114"/>
      <c r="K1053" s="117"/>
      <c r="M1053" s="134"/>
      <c r="N1053" s="134"/>
      <c r="O1053" s="133"/>
    </row>
    <row r="1054" spans="1:15" ht="12.6" customHeight="1">
      <c r="A1054" s="118"/>
      <c r="B1054" s="237" t="s">
        <v>624</v>
      </c>
      <c r="C1054" s="93"/>
      <c r="D1054" s="69">
        <v>1</v>
      </c>
      <c r="E1054" s="251" t="s">
        <v>658</v>
      </c>
      <c r="F1054" s="68">
        <v>27.68</v>
      </c>
      <c r="G1054" s="68"/>
      <c r="H1054" s="68"/>
      <c r="I1054" s="68">
        <f t="shared" si="66"/>
        <v>27.68</v>
      </c>
      <c r="J1054" s="114"/>
      <c r="K1054" s="117"/>
      <c r="M1054" s="134"/>
      <c r="N1054" s="134"/>
      <c r="O1054" s="133"/>
    </row>
    <row r="1055" spans="1:15" ht="12.6" customHeight="1">
      <c r="A1055" s="118"/>
      <c r="B1055" s="237" t="s">
        <v>625</v>
      </c>
      <c r="C1055" s="93"/>
      <c r="D1055" s="69">
        <v>1</v>
      </c>
      <c r="E1055" s="251" t="s">
        <v>658</v>
      </c>
      <c r="F1055" s="68">
        <v>52.34</v>
      </c>
      <c r="G1055" s="68"/>
      <c r="H1055" s="68"/>
      <c r="I1055" s="68">
        <f t="shared" si="66"/>
        <v>52.34</v>
      </c>
      <c r="J1055" s="114"/>
      <c r="K1055" s="117"/>
      <c r="M1055" s="134"/>
      <c r="N1055" s="134"/>
      <c r="O1055" s="133"/>
    </row>
    <row r="1056" spans="1:15" ht="12.6" customHeight="1">
      <c r="A1056" s="118"/>
      <c r="B1056" s="237" t="s">
        <v>626</v>
      </c>
      <c r="C1056" s="93"/>
      <c r="D1056" s="69">
        <v>1</v>
      </c>
      <c r="E1056" s="251" t="s">
        <v>658</v>
      </c>
      <c r="F1056" s="68">
        <v>4.75</v>
      </c>
      <c r="G1056" s="68"/>
      <c r="H1056" s="68"/>
      <c r="I1056" s="68">
        <f t="shared" si="66"/>
        <v>4.75</v>
      </c>
      <c r="J1056" s="114"/>
      <c r="K1056" s="117"/>
      <c r="M1056" s="134"/>
      <c r="N1056" s="134"/>
      <c r="O1056" s="133"/>
    </row>
    <row r="1057" spans="1:15" ht="12.6" customHeight="1">
      <c r="A1057" s="118"/>
      <c r="B1057" s="237" t="s">
        <v>627</v>
      </c>
      <c r="C1057" s="93"/>
      <c r="D1057" s="69">
        <v>1</v>
      </c>
      <c r="E1057" s="251" t="s">
        <v>658</v>
      </c>
      <c r="F1057" s="68">
        <v>4.78</v>
      </c>
      <c r="G1057" s="68"/>
      <c r="H1057" s="68"/>
      <c r="I1057" s="68">
        <f t="shared" si="66"/>
        <v>4.78</v>
      </c>
      <c r="J1057" s="114"/>
      <c r="K1057" s="117"/>
      <c r="M1057" s="134"/>
      <c r="N1057" s="134"/>
      <c r="O1057" s="133"/>
    </row>
    <row r="1058" spans="1:15" ht="12.6" customHeight="1">
      <c r="A1058" s="118"/>
      <c r="B1058" s="237" t="s">
        <v>628</v>
      </c>
      <c r="C1058" s="93"/>
      <c r="D1058" s="69">
        <v>1</v>
      </c>
      <c r="E1058" s="251" t="s">
        <v>658</v>
      </c>
      <c r="F1058" s="68">
        <v>5.15</v>
      </c>
      <c r="G1058" s="68"/>
      <c r="H1058" s="68"/>
      <c r="I1058" s="68">
        <f t="shared" si="66"/>
        <v>5.15</v>
      </c>
      <c r="J1058" s="114"/>
      <c r="K1058" s="117"/>
      <c r="M1058" s="134"/>
      <c r="N1058" s="134"/>
      <c r="O1058" s="133"/>
    </row>
    <row r="1059" spans="1:15" ht="12.6" customHeight="1">
      <c r="A1059" s="118"/>
      <c r="B1059" s="237" t="s">
        <v>629</v>
      </c>
      <c r="C1059" s="93"/>
      <c r="D1059" s="69">
        <v>1</v>
      </c>
      <c r="E1059" s="251" t="s">
        <v>658</v>
      </c>
      <c r="F1059" s="68">
        <v>34.130000000000003</v>
      </c>
      <c r="G1059" s="68"/>
      <c r="H1059" s="68"/>
      <c r="I1059" s="68">
        <f t="shared" si="66"/>
        <v>34.130000000000003</v>
      </c>
      <c r="J1059" s="114"/>
      <c r="K1059" s="117"/>
      <c r="M1059" s="134"/>
      <c r="N1059" s="134"/>
      <c r="O1059" s="133"/>
    </row>
    <row r="1060" spans="1:15" ht="12.6" customHeight="1">
      <c r="A1060" s="118"/>
      <c r="B1060" s="237" t="s">
        <v>630</v>
      </c>
      <c r="C1060" s="93"/>
      <c r="D1060" s="69">
        <v>1</v>
      </c>
      <c r="E1060" s="251" t="s">
        <v>658</v>
      </c>
      <c r="F1060" s="68">
        <v>13.27</v>
      </c>
      <c r="G1060" s="68"/>
      <c r="H1060" s="68"/>
      <c r="I1060" s="68">
        <f t="shared" si="66"/>
        <v>13.27</v>
      </c>
      <c r="J1060" s="114"/>
      <c r="K1060" s="117"/>
      <c r="M1060" s="134"/>
      <c r="N1060" s="134"/>
      <c r="O1060" s="133"/>
    </row>
    <row r="1061" spans="1:15" ht="12.6" customHeight="1">
      <c r="A1061" s="118"/>
      <c r="B1061" s="237" t="s">
        <v>631</v>
      </c>
      <c r="C1061" s="93"/>
      <c r="D1061" s="69">
        <v>1</v>
      </c>
      <c r="E1061" s="251" t="s">
        <v>658</v>
      </c>
      <c r="F1061" s="68">
        <v>34.46</v>
      </c>
      <c r="G1061" s="68"/>
      <c r="H1061" s="68"/>
      <c r="I1061" s="68">
        <f t="shared" si="66"/>
        <v>34.46</v>
      </c>
      <c r="J1061" s="114"/>
      <c r="K1061" s="117"/>
      <c r="M1061" s="134"/>
      <c r="N1061" s="134"/>
      <c r="O1061" s="133"/>
    </row>
    <row r="1062" spans="1:15" ht="12.6" customHeight="1">
      <c r="A1062" s="118"/>
      <c r="B1062" s="237" t="s">
        <v>632</v>
      </c>
      <c r="C1062" s="93"/>
      <c r="D1062" s="69">
        <v>1</v>
      </c>
      <c r="E1062" s="251" t="s">
        <v>658</v>
      </c>
      <c r="F1062" s="68">
        <v>27.48</v>
      </c>
      <c r="G1062" s="68"/>
      <c r="H1062" s="68"/>
      <c r="I1062" s="68">
        <f t="shared" si="66"/>
        <v>27.48</v>
      </c>
      <c r="J1062" s="114"/>
      <c r="K1062" s="117"/>
      <c r="M1062" s="134"/>
      <c r="N1062" s="134"/>
      <c r="O1062" s="133"/>
    </row>
    <row r="1063" spans="1:15" ht="12.6" customHeight="1">
      <c r="A1063" s="118"/>
      <c r="B1063" s="237" t="s">
        <v>633</v>
      </c>
      <c r="C1063" s="93"/>
      <c r="D1063" s="69">
        <v>1</v>
      </c>
      <c r="E1063" s="251" t="s">
        <v>658</v>
      </c>
      <c r="F1063" s="68">
        <v>1.4</v>
      </c>
      <c r="G1063" s="68"/>
      <c r="H1063" s="68"/>
      <c r="I1063" s="68">
        <f t="shared" si="66"/>
        <v>1.4</v>
      </c>
      <c r="J1063" s="114"/>
      <c r="K1063" s="117"/>
      <c r="M1063" s="134"/>
      <c r="N1063" s="134"/>
      <c r="O1063" s="133"/>
    </row>
    <row r="1064" spans="1:15" ht="12.6" customHeight="1">
      <c r="A1064" s="118"/>
      <c r="B1064" s="237" t="s">
        <v>634</v>
      </c>
      <c r="C1064" s="93"/>
      <c r="D1064" s="69">
        <v>1</v>
      </c>
      <c r="E1064" s="251" t="s">
        <v>658</v>
      </c>
      <c r="F1064" s="68">
        <v>34.04</v>
      </c>
      <c r="G1064" s="68"/>
      <c r="H1064" s="68"/>
      <c r="I1064" s="68">
        <f t="shared" si="66"/>
        <v>34.04</v>
      </c>
      <c r="J1064" s="114"/>
      <c r="K1064" s="117"/>
      <c r="M1064" s="134"/>
      <c r="N1064" s="134"/>
      <c r="O1064" s="133"/>
    </row>
    <row r="1065" spans="1:15" ht="12.6" customHeight="1">
      <c r="A1065" s="118"/>
      <c r="B1065" s="237" t="s">
        <v>635</v>
      </c>
      <c r="C1065" s="93"/>
      <c r="D1065" s="69">
        <v>1</v>
      </c>
      <c r="E1065" s="251" t="s">
        <v>658</v>
      </c>
      <c r="F1065" s="68">
        <v>18.07</v>
      </c>
      <c r="G1065" s="68"/>
      <c r="H1065" s="68"/>
      <c r="I1065" s="68">
        <f t="shared" si="66"/>
        <v>18.07</v>
      </c>
      <c r="J1065" s="114"/>
      <c r="K1065" s="117"/>
      <c r="M1065" s="134"/>
      <c r="N1065" s="134"/>
      <c r="O1065" s="133"/>
    </row>
    <row r="1066" spans="1:15" ht="12.6" customHeight="1">
      <c r="A1066" s="118"/>
      <c r="B1066" s="237" t="s">
        <v>636</v>
      </c>
      <c r="C1066" s="93"/>
      <c r="D1066" s="69">
        <v>1</v>
      </c>
      <c r="E1066" s="251" t="s">
        <v>658</v>
      </c>
      <c r="F1066" s="68">
        <v>22.48</v>
      </c>
      <c r="G1066" s="68"/>
      <c r="H1066" s="68"/>
      <c r="I1066" s="68">
        <f t="shared" si="66"/>
        <v>22.48</v>
      </c>
      <c r="J1066" s="114"/>
      <c r="K1066" s="117"/>
      <c r="M1066" s="134"/>
      <c r="N1066" s="134"/>
      <c r="O1066" s="133"/>
    </row>
    <row r="1067" spans="1:15" ht="12.6" customHeight="1">
      <c r="A1067" s="118"/>
      <c r="B1067" s="237" t="s">
        <v>637</v>
      </c>
      <c r="C1067" s="93"/>
      <c r="D1067" s="69">
        <v>1</v>
      </c>
      <c r="E1067" s="251" t="s">
        <v>658</v>
      </c>
      <c r="F1067" s="68">
        <v>34.04</v>
      </c>
      <c r="G1067" s="68"/>
      <c r="H1067" s="68"/>
      <c r="I1067" s="68">
        <f t="shared" si="66"/>
        <v>34.04</v>
      </c>
      <c r="J1067" s="114"/>
      <c r="K1067" s="117"/>
      <c r="M1067" s="134"/>
      <c r="N1067" s="134"/>
      <c r="O1067" s="133"/>
    </row>
    <row r="1068" spans="1:15" ht="12.6" customHeight="1">
      <c r="A1068" s="118"/>
      <c r="B1068" s="237" t="s">
        <v>638</v>
      </c>
      <c r="C1068" s="93"/>
      <c r="D1068" s="69">
        <v>1</v>
      </c>
      <c r="E1068" s="251" t="s">
        <v>658</v>
      </c>
      <c r="F1068" s="68">
        <v>33.869999999999997</v>
      </c>
      <c r="G1068" s="68"/>
      <c r="H1068" s="68"/>
      <c r="I1068" s="68">
        <f t="shared" si="66"/>
        <v>33.869999999999997</v>
      </c>
      <c r="J1068" s="114"/>
      <c r="K1068" s="117"/>
      <c r="M1068" s="134"/>
      <c r="N1068" s="134"/>
      <c r="O1068" s="133"/>
    </row>
    <row r="1069" spans="1:15" ht="12.6" customHeight="1">
      <c r="A1069" s="118"/>
      <c r="B1069" s="237" t="s">
        <v>639</v>
      </c>
      <c r="C1069" s="93"/>
      <c r="D1069" s="69">
        <v>1</v>
      </c>
      <c r="E1069" s="251" t="s">
        <v>658</v>
      </c>
      <c r="F1069" s="68">
        <v>35.409999999999997</v>
      </c>
      <c r="G1069" s="68"/>
      <c r="H1069" s="68"/>
      <c r="I1069" s="68">
        <f t="shared" si="66"/>
        <v>35.409999999999997</v>
      </c>
      <c r="J1069" s="114"/>
      <c r="K1069" s="117"/>
      <c r="M1069" s="134"/>
      <c r="N1069" s="134"/>
      <c r="O1069" s="133"/>
    </row>
    <row r="1070" spans="1:15" ht="12.6" customHeight="1">
      <c r="A1070" s="118"/>
      <c r="B1070" s="237" t="s">
        <v>640</v>
      </c>
      <c r="C1070" s="93"/>
      <c r="D1070" s="69">
        <v>1</v>
      </c>
      <c r="E1070" s="251" t="s">
        <v>658</v>
      </c>
      <c r="F1070" s="68">
        <v>11.98</v>
      </c>
      <c r="G1070" s="68"/>
      <c r="H1070" s="68"/>
      <c r="I1070" s="68">
        <f t="shared" si="66"/>
        <v>11.98</v>
      </c>
      <c r="J1070" s="114"/>
      <c r="K1070" s="117"/>
      <c r="M1070" s="134"/>
      <c r="N1070" s="134"/>
      <c r="O1070" s="133"/>
    </row>
    <row r="1071" spans="1:15" ht="12.6" customHeight="1">
      <c r="A1071" s="118"/>
      <c r="B1071" s="237" t="s">
        <v>641</v>
      </c>
      <c r="C1071" s="93"/>
      <c r="D1071" s="69">
        <v>1</v>
      </c>
      <c r="E1071" s="251" t="s">
        <v>658</v>
      </c>
      <c r="F1071" s="68">
        <v>34.4</v>
      </c>
      <c r="G1071" s="68"/>
      <c r="H1071" s="68"/>
      <c r="I1071" s="68">
        <f t="shared" si="66"/>
        <v>34.4</v>
      </c>
      <c r="J1071" s="114"/>
      <c r="K1071" s="117"/>
      <c r="M1071" s="134"/>
      <c r="N1071" s="134"/>
      <c r="O1071" s="133"/>
    </row>
    <row r="1072" spans="1:15" ht="12.6" customHeight="1">
      <c r="A1072" s="118"/>
      <c r="B1072" s="237" t="s">
        <v>642</v>
      </c>
      <c r="C1072" s="93"/>
      <c r="D1072" s="69">
        <v>1</v>
      </c>
      <c r="E1072" s="251" t="s">
        <v>658</v>
      </c>
      <c r="F1072" s="68">
        <v>33.869999999999997</v>
      </c>
      <c r="G1072" s="68"/>
      <c r="H1072" s="68"/>
      <c r="I1072" s="68">
        <f t="shared" si="66"/>
        <v>33.869999999999997</v>
      </c>
      <c r="J1072" s="114"/>
      <c r="K1072" s="117"/>
      <c r="M1072" s="134"/>
      <c r="N1072" s="134"/>
      <c r="O1072" s="133"/>
    </row>
    <row r="1073" spans="1:15" ht="12.6" customHeight="1">
      <c r="A1073" s="118"/>
      <c r="B1073" s="237" t="s">
        <v>643</v>
      </c>
      <c r="C1073" s="93"/>
      <c r="D1073" s="69">
        <v>1</v>
      </c>
      <c r="E1073" s="251" t="s">
        <v>658</v>
      </c>
      <c r="F1073" s="68">
        <v>34.04</v>
      </c>
      <c r="G1073" s="68"/>
      <c r="H1073" s="68"/>
      <c r="I1073" s="68">
        <f t="shared" si="66"/>
        <v>34.04</v>
      </c>
      <c r="J1073" s="114"/>
      <c r="K1073" s="117"/>
      <c r="M1073" s="134"/>
      <c r="N1073" s="134"/>
      <c r="O1073" s="133"/>
    </row>
    <row r="1074" spans="1:15" ht="12.6" customHeight="1">
      <c r="A1074" s="118"/>
      <c r="B1074" s="237" t="s">
        <v>644</v>
      </c>
      <c r="C1074" s="93"/>
      <c r="D1074" s="69">
        <v>1</v>
      </c>
      <c r="E1074" s="251" t="s">
        <v>658</v>
      </c>
      <c r="F1074" s="68">
        <v>18.05</v>
      </c>
      <c r="G1074" s="68"/>
      <c r="H1074" s="68"/>
      <c r="I1074" s="68">
        <f t="shared" si="66"/>
        <v>18.05</v>
      </c>
      <c r="J1074" s="114"/>
      <c r="K1074" s="117"/>
      <c r="M1074" s="134"/>
      <c r="N1074" s="134"/>
      <c r="O1074" s="133"/>
    </row>
    <row r="1075" spans="1:15" ht="12.6" customHeight="1">
      <c r="A1075" s="118"/>
      <c r="B1075" s="237" t="s">
        <v>645</v>
      </c>
      <c r="C1075" s="93"/>
      <c r="D1075" s="69">
        <v>1</v>
      </c>
      <c r="E1075" s="251" t="s">
        <v>658</v>
      </c>
      <c r="F1075" s="68">
        <v>52.38</v>
      </c>
      <c r="G1075" s="68"/>
      <c r="H1075" s="68"/>
      <c r="I1075" s="68">
        <f t="shared" si="66"/>
        <v>52.38</v>
      </c>
      <c r="J1075" s="114"/>
      <c r="K1075" s="117"/>
      <c r="M1075" s="134"/>
      <c r="N1075" s="134"/>
      <c r="O1075" s="133"/>
    </row>
    <row r="1076" spans="1:15" ht="12.6" customHeight="1">
      <c r="A1076" s="118"/>
      <c r="B1076" s="237" t="s">
        <v>646</v>
      </c>
      <c r="C1076" s="93"/>
      <c r="D1076" s="69">
        <v>1</v>
      </c>
      <c r="E1076" s="251" t="s">
        <v>658</v>
      </c>
      <c r="F1076" s="68">
        <v>4.78</v>
      </c>
      <c r="G1076" s="68"/>
      <c r="H1076" s="68"/>
      <c r="I1076" s="68">
        <f t="shared" si="66"/>
        <v>4.78</v>
      </c>
      <c r="J1076" s="114"/>
      <c r="K1076" s="117"/>
      <c r="M1076" s="134"/>
      <c r="N1076" s="134"/>
      <c r="O1076" s="133"/>
    </row>
    <row r="1077" spans="1:15" ht="12.6" customHeight="1">
      <c r="A1077" s="118"/>
      <c r="B1077" s="237" t="s">
        <v>647</v>
      </c>
      <c r="C1077" s="93"/>
      <c r="D1077" s="69">
        <v>1</v>
      </c>
      <c r="E1077" s="251" t="s">
        <v>658</v>
      </c>
      <c r="F1077" s="68">
        <v>4.8600000000000003</v>
      </c>
      <c r="G1077" s="68"/>
      <c r="H1077" s="68"/>
      <c r="I1077" s="68">
        <f t="shared" si="66"/>
        <v>4.8600000000000003</v>
      </c>
      <c r="J1077" s="114"/>
      <c r="K1077" s="117"/>
      <c r="M1077" s="134"/>
      <c r="N1077" s="134"/>
      <c r="O1077" s="133"/>
    </row>
    <row r="1078" spans="1:15" ht="12.6" customHeight="1">
      <c r="A1078" s="118"/>
      <c r="B1078" s="237" t="s">
        <v>648</v>
      </c>
      <c r="C1078" s="93"/>
      <c r="D1078" s="69">
        <v>1</v>
      </c>
      <c r="E1078" s="251" t="s">
        <v>658</v>
      </c>
      <c r="F1078" s="68">
        <v>5.17</v>
      </c>
      <c r="G1078" s="68"/>
      <c r="H1078" s="68"/>
      <c r="I1078" s="68">
        <f t="shared" si="66"/>
        <v>5.17</v>
      </c>
      <c r="J1078" s="114"/>
      <c r="K1078" s="117"/>
      <c r="M1078" s="134"/>
      <c r="N1078" s="134"/>
      <c r="O1078" s="133"/>
    </row>
    <row r="1079" spans="1:15" ht="12.6" customHeight="1">
      <c r="A1079" s="118"/>
      <c r="B1079" s="237" t="s">
        <v>649</v>
      </c>
      <c r="C1079" s="93"/>
      <c r="D1079" s="69">
        <v>1</v>
      </c>
      <c r="E1079" s="251" t="s">
        <v>658</v>
      </c>
      <c r="F1079" s="68">
        <v>34.159999999999997</v>
      </c>
      <c r="G1079" s="68"/>
      <c r="H1079" s="68"/>
      <c r="I1079" s="68">
        <f t="shared" si="66"/>
        <v>34.159999999999997</v>
      </c>
      <c r="J1079" s="114"/>
      <c r="K1079" s="117"/>
      <c r="M1079" s="134"/>
      <c r="N1079" s="134"/>
      <c r="O1079" s="133"/>
    </row>
    <row r="1080" spans="1:15" ht="12.6" customHeight="1">
      <c r="A1080" s="118"/>
      <c r="B1080" s="237" t="s">
        <v>650</v>
      </c>
      <c r="C1080" s="93"/>
      <c r="D1080" s="69">
        <v>1</v>
      </c>
      <c r="E1080" s="251" t="s">
        <v>658</v>
      </c>
      <c r="F1080" s="68">
        <v>13.33</v>
      </c>
      <c r="G1080" s="68"/>
      <c r="H1080" s="68"/>
      <c r="I1080" s="68">
        <f t="shared" si="66"/>
        <v>13.33</v>
      </c>
      <c r="J1080" s="114"/>
      <c r="K1080" s="117"/>
      <c r="M1080" s="134"/>
      <c r="N1080" s="134"/>
      <c r="O1080" s="133"/>
    </row>
    <row r="1081" spans="1:15" ht="12.6" customHeight="1">
      <c r="A1081" s="118"/>
      <c r="B1081" s="237" t="s">
        <v>651</v>
      </c>
      <c r="C1081" s="93"/>
      <c r="D1081" s="69">
        <v>1</v>
      </c>
      <c r="E1081" s="251" t="s">
        <v>658</v>
      </c>
      <c r="F1081" s="68">
        <v>35.86</v>
      </c>
      <c r="G1081" s="68"/>
      <c r="H1081" s="68"/>
      <c r="I1081" s="68">
        <f t="shared" si="66"/>
        <v>35.86</v>
      </c>
      <c r="J1081" s="114"/>
      <c r="K1081" s="117"/>
      <c r="M1081" s="134"/>
      <c r="N1081" s="134"/>
      <c r="O1081" s="133"/>
    </row>
    <row r="1082" spans="1:15" ht="12.6" customHeight="1">
      <c r="A1082" s="118"/>
      <c r="B1082" s="237" t="s">
        <v>652</v>
      </c>
      <c r="C1082" s="93"/>
      <c r="D1082" s="69">
        <v>1</v>
      </c>
      <c r="E1082" s="251" t="s">
        <v>658</v>
      </c>
      <c r="F1082" s="68">
        <v>34.67</v>
      </c>
      <c r="G1082" s="68"/>
      <c r="H1082" s="68"/>
      <c r="I1082" s="68">
        <f t="shared" si="66"/>
        <v>34.67</v>
      </c>
      <c r="J1082" s="114"/>
      <c r="K1082" s="117"/>
      <c r="M1082" s="134"/>
      <c r="N1082" s="134"/>
      <c r="O1082" s="133"/>
    </row>
    <row r="1083" spans="1:15" ht="12.6" customHeight="1">
      <c r="A1083" s="118"/>
      <c r="B1083" s="237" t="s">
        <v>653</v>
      </c>
      <c r="C1083" s="93"/>
      <c r="D1083" s="69">
        <v>1</v>
      </c>
      <c r="E1083" s="251" t="s">
        <v>658</v>
      </c>
      <c r="F1083" s="68">
        <v>39.799999999999997</v>
      </c>
      <c r="G1083" s="68"/>
      <c r="H1083" s="68"/>
      <c r="I1083" s="68">
        <f t="shared" si="66"/>
        <v>39.799999999999997</v>
      </c>
      <c r="J1083" s="114"/>
      <c r="K1083" s="117"/>
      <c r="M1083" s="134"/>
      <c r="N1083" s="134"/>
      <c r="O1083" s="133"/>
    </row>
    <row r="1084" spans="1:15" ht="12.6" customHeight="1">
      <c r="A1084" s="118"/>
      <c r="B1084" s="237" t="s">
        <v>654</v>
      </c>
      <c r="C1084" s="93"/>
      <c r="D1084" s="69">
        <v>1</v>
      </c>
      <c r="E1084" s="251" t="s">
        <v>658</v>
      </c>
      <c r="F1084" s="68">
        <v>10.66</v>
      </c>
      <c r="G1084" s="68"/>
      <c r="H1084" s="68"/>
      <c r="I1084" s="68">
        <f t="shared" si="66"/>
        <v>10.66</v>
      </c>
      <c r="J1084" s="114"/>
      <c r="K1084" s="117"/>
      <c r="M1084" s="134"/>
      <c r="N1084" s="134"/>
      <c r="O1084" s="133"/>
    </row>
    <row r="1085" spans="1:15" ht="12.6" customHeight="1">
      <c r="A1085" s="118"/>
      <c r="B1085" s="237" t="s">
        <v>655</v>
      </c>
      <c r="C1085" s="93"/>
      <c r="D1085" s="69">
        <v>1</v>
      </c>
      <c r="E1085" s="251" t="s">
        <v>658</v>
      </c>
      <c r="F1085" s="68">
        <v>46.2</v>
      </c>
      <c r="G1085" s="68"/>
      <c r="H1085" s="68"/>
      <c r="I1085" s="68">
        <f t="shared" si="66"/>
        <v>46.2</v>
      </c>
      <c r="J1085" s="114"/>
      <c r="K1085" s="117"/>
      <c r="M1085" s="134"/>
      <c r="N1085" s="134"/>
      <c r="O1085" s="133"/>
    </row>
    <row r="1086" spans="1:15" ht="12.6" customHeight="1">
      <c r="A1086" s="118"/>
      <c r="B1086" s="237" t="s">
        <v>656</v>
      </c>
      <c r="C1086" s="93"/>
      <c r="D1086" s="69">
        <v>1</v>
      </c>
      <c r="E1086" s="251" t="s">
        <v>658</v>
      </c>
      <c r="F1086" s="68">
        <v>10.65</v>
      </c>
      <c r="G1086" s="68"/>
      <c r="H1086" s="68"/>
      <c r="I1086" s="68">
        <f t="shared" si="66"/>
        <v>10.65</v>
      </c>
      <c r="J1086" s="114"/>
      <c r="K1086" s="117"/>
      <c r="M1086" s="134"/>
      <c r="N1086" s="134"/>
      <c r="O1086" s="133"/>
    </row>
    <row r="1087" spans="1:15" ht="12.6" customHeight="1">
      <c r="A1087" s="118"/>
      <c r="B1087" s="289" t="s">
        <v>657</v>
      </c>
      <c r="C1087" s="93"/>
      <c r="D1087" s="69">
        <v>1</v>
      </c>
      <c r="E1087" s="251" t="s">
        <v>658</v>
      </c>
      <c r="F1087" s="68">
        <v>28.46</v>
      </c>
      <c r="G1087" s="68"/>
      <c r="H1087" s="68"/>
      <c r="I1087" s="68">
        <f t="shared" si="66"/>
        <v>28.46</v>
      </c>
      <c r="J1087" s="114"/>
      <c r="K1087" s="117"/>
      <c r="M1087" s="134"/>
      <c r="N1087" s="134"/>
      <c r="O1087" s="133"/>
    </row>
    <row r="1088" spans="1:15" ht="12.6" customHeight="1">
      <c r="A1088" s="115"/>
      <c r="B1088" s="231" t="s">
        <v>669</v>
      </c>
      <c r="C1088" s="140"/>
      <c r="D1088" s="71">
        <v>1</v>
      </c>
      <c r="E1088" s="159" t="s">
        <v>658</v>
      </c>
      <c r="F1088" s="70">
        <v>25.24</v>
      </c>
      <c r="G1088" s="70"/>
      <c r="H1088" s="70"/>
      <c r="I1088" s="70">
        <f t="shared" si="66"/>
        <v>25.24</v>
      </c>
      <c r="J1088" s="141"/>
      <c r="K1088" s="113"/>
      <c r="M1088" s="134"/>
      <c r="N1088" s="134"/>
      <c r="O1088" s="133"/>
    </row>
    <row r="1089" spans="1:15" ht="12.6" customHeight="1">
      <c r="A1089" s="232"/>
      <c r="B1089" s="248"/>
      <c r="C1089" s="234"/>
      <c r="D1089" s="235"/>
      <c r="E1089" s="249"/>
      <c r="F1089" s="170"/>
      <c r="G1089" s="170"/>
      <c r="H1089" s="170"/>
      <c r="I1089" s="170"/>
      <c r="J1089" s="171"/>
      <c r="K1089" s="172"/>
      <c r="M1089" s="134"/>
      <c r="N1089" s="134"/>
      <c r="O1089" s="133"/>
    </row>
    <row r="1090" spans="1:15" ht="12.6" customHeight="1">
      <c r="A1090" s="108"/>
      <c r="B1090" s="236"/>
      <c r="C1090" s="104"/>
      <c r="D1090" s="73"/>
      <c r="E1090" s="250"/>
      <c r="F1090" s="72"/>
      <c r="G1090" s="72"/>
      <c r="H1090" s="72"/>
      <c r="I1090" s="72"/>
      <c r="J1090" s="124"/>
      <c r="K1090" s="107"/>
      <c r="M1090" s="134"/>
      <c r="N1090" s="134"/>
      <c r="O1090" s="133"/>
    </row>
    <row r="1091" spans="1:15" ht="12.6" customHeight="1">
      <c r="A1091" s="118"/>
      <c r="B1091" s="237"/>
      <c r="C1091" s="93"/>
      <c r="D1091" s="69"/>
      <c r="E1091" s="251"/>
      <c r="F1091" s="68"/>
      <c r="G1091" s="68"/>
      <c r="H1091" s="68"/>
      <c r="I1091" s="68"/>
      <c r="J1091" s="114"/>
      <c r="K1091" s="117"/>
      <c r="M1091" s="134"/>
      <c r="N1091" s="134"/>
      <c r="O1091" s="133"/>
    </row>
    <row r="1092" spans="1:15" ht="12.6" customHeight="1">
      <c r="A1092" s="118"/>
      <c r="B1092" s="237"/>
      <c r="C1092" s="93"/>
      <c r="D1092" s="69"/>
      <c r="E1092" s="251"/>
      <c r="F1092" s="68"/>
      <c r="G1092" s="68"/>
      <c r="H1092" s="68"/>
      <c r="I1092" s="68"/>
      <c r="J1092" s="114"/>
      <c r="K1092" s="117"/>
      <c r="M1092" s="134"/>
      <c r="N1092" s="134"/>
      <c r="O1092" s="133"/>
    </row>
    <row r="1093" spans="1:15" ht="12.6" customHeight="1">
      <c r="A1093" s="118"/>
      <c r="B1093" s="237"/>
      <c r="C1093" s="93"/>
      <c r="D1093" s="69"/>
      <c r="E1093" s="251"/>
      <c r="F1093" s="68"/>
      <c r="G1093" s="68"/>
      <c r="H1093" s="68"/>
      <c r="I1093" s="68"/>
      <c r="J1093" s="114"/>
      <c r="K1093" s="117"/>
      <c r="M1093" s="134"/>
      <c r="N1093" s="134"/>
      <c r="O1093" s="133"/>
    </row>
    <row r="1094" spans="1:15" ht="12.6" customHeight="1">
      <c r="A1094" s="118"/>
      <c r="B1094" s="237"/>
      <c r="C1094" s="93"/>
      <c r="D1094" s="69"/>
      <c r="E1094" s="251"/>
      <c r="F1094" s="68"/>
      <c r="G1094" s="68"/>
      <c r="H1094" s="68"/>
      <c r="I1094" s="68"/>
      <c r="J1094" s="114"/>
      <c r="K1094" s="117"/>
      <c r="M1094" s="134"/>
      <c r="N1094" s="134"/>
      <c r="O1094" s="133"/>
    </row>
    <row r="1095" spans="1:15" ht="12.6" customHeight="1">
      <c r="A1095" s="118"/>
      <c r="B1095" s="237"/>
      <c r="C1095" s="93"/>
      <c r="D1095" s="69"/>
      <c r="E1095" s="251"/>
      <c r="F1095" s="68"/>
      <c r="G1095" s="68"/>
      <c r="H1095" s="68"/>
      <c r="I1095" s="68"/>
      <c r="J1095" s="114"/>
      <c r="K1095" s="117"/>
      <c r="M1095" s="134"/>
      <c r="N1095" s="134"/>
      <c r="O1095" s="133"/>
    </row>
    <row r="1096" spans="1:15" ht="12.6" customHeight="1" thickBot="1">
      <c r="A1096" s="143"/>
      <c r="B1096" s="285"/>
      <c r="C1096" s="144"/>
      <c r="D1096" s="95"/>
      <c r="E1096" s="286"/>
      <c r="F1096" s="92"/>
      <c r="G1096" s="92"/>
      <c r="H1096" s="92"/>
      <c r="I1096" s="92"/>
      <c r="J1096" s="145"/>
      <c r="K1096" s="146"/>
      <c r="M1096" s="134"/>
      <c r="N1096" s="134"/>
      <c r="O1096" s="133"/>
    </row>
    <row r="1097" spans="1:15" ht="12.75" customHeight="1" thickTop="1">
      <c r="A1097" s="91"/>
      <c r="B1097" s="90"/>
      <c r="C1097" s="90"/>
      <c r="D1097" s="90"/>
      <c r="E1097" s="90"/>
      <c r="F1097" s="90"/>
      <c r="G1097" s="90"/>
      <c r="H1097" s="90"/>
      <c r="I1097" s="90"/>
      <c r="J1097" s="90"/>
      <c r="K1097" s="89"/>
      <c r="M1097" s="134"/>
      <c r="N1097" s="134"/>
      <c r="O1097" s="133"/>
    </row>
    <row r="1098" spans="1:15" ht="15" customHeight="1">
      <c r="A1098" s="569" t="s">
        <v>29</v>
      </c>
      <c r="B1098" s="570"/>
      <c r="C1098" s="570"/>
      <c r="D1098" s="570"/>
      <c r="E1098" s="570"/>
      <c r="F1098" s="570"/>
      <c r="G1098" s="570"/>
      <c r="H1098" s="570"/>
      <c r="I1098" s="570"/>
      <c r="J1098" s="570"/>
      <c r="K1098" s="571"/>
      <c r="M1098" s="134"/>
      <c r="N1098" s="134"/>
      <c r="O1098" s="133"/>
    </row>
    <row r="1099" spans="1:15" ht="15" customHeight="1">
      <c r="A1099" s="572" t="s">
        <v>69</v>
      </c>
      <c r="B1099" s="573"/>
      <c r="C1099" s="573"/>
      <c r="D1099" s="573"/>
      <c r="E1099" s="573"/>
      <c r="F1099" s="573"/>
      <c r="G1099" s="573"/>
      <c r="H1099" s="573"/>
      <c r="I1099" s="573"/>
      <c r="J1099" s="573"/>
      <c r="K1099" s="574"/>
      <c r="M1099" s="134"/>
      <c r="N1099" s="134"/>
      <c r="O1099" s="133"/>
    </row>
    <row r="1100" spans="1:15" ht="12.75" customHeight="1">
      <c r="A1100" s="88"/>
      <c r="B1100" s="85"/>
      <c r="C1100" s="85"/>
      <c r="D1100" s="85"/>
      <c r="E1100" s="85"/>
      <c r="F1100" s="85"/>
      <c r="G1100" s="85"/>
      <c r="H1100" s="85"/>
      <c r="I1100" s="85"/>
      <c r="J1100" s="85"/>
      <c r="K1100" s="87"/>
      <c r="M1100" s="134"/>
      <c r="N1100" s="134"/>
      <c r="O1100" s="133"/>
    </row>
    <row r="1101" spans="1:15" ht="8.25" customHeight="1">
      <c r="A1101" s="55"/>
      <c r="B1101" s="86"/>
      <c r="C1101" s="86"/>
      <c r="D1101" s="86"/>
      <c r="E1101" s="86"/>
      <c r="F1101" s="86"/>
      <c r="G1101" s="86"/>
      <c r="H1101" s="86"/>
      <c r="I1101" s="86"/>
      <c r="J1101" s="86"/>
      <c r="K1101" s="81"/>
      <c r="M1101" s="134"/>
      <c r="N1101" s="134"/>
      <c r="O1101" s="133"/>
    </row>
    <row r="1102" spans="1:15" ht="12.75" customHeight="1">
      <c r="A1102" s="575" t="s">
        <v>68</v>
      </c>
      <c r="B1102" s="576"/>
      <c r="C1102" s="576"/>
      <c r="D1102" s="576"/>
      <c r="E1102" s="576"/>
      <c r="F1102" s="576"/>
      <c r="G1102" s="576"/>
      <c r="H1102" s="576"/>
      <c r="I1102" s="576"/>
      <c r="J1102" s="576"/>
      <c r="K1102" s="577"/>
      <c r="M1102" s="134"/>
      <c r="N1102" s="134"/>
      <c r="O1102" s="133"/>
    </row>
    <row r="1103" spans="1:15" ht="9" customHeight="1">
      <c r="A1103" s="55"/>
      <c r="B1103" s="86"/>
      <c r="C1103" s="86"/>
      <c r="D1103" s="86"/>
      <c r="E1103" s="86"/>
      <c r="F1103" s="86"/>
      <c r="G1103" s="86"/>
      <c r="H1103" s="86"/>
      <c r="I1103" s="86"/>
      <c r="J1103" s="85"/>
      <c r="K1103" s="81"/>
      <c r="M1103" s="134"/>
      <c r="N1103" s="134"/>
      <c r="O1103" s="133"/>
    </row>
    <row r="1104" spans="1:15" ht="12.75" customHeight="1">
      <c r="A1104" s="84"/>
      <c r="B1104" s="83" t="s">
        <v>11</v>
      </c>
      <c r="C1104" s="578" t="s">
        <v>361</v>
      </c>
      <c r="D1104" s="579"/>
      <c r="E1104" s="579"/>
      <c r="F1104" s="579"/>
      <c r="G1104" s="579"/>
      <c r="H1104" s="579"/>
      <c r="I1104" s="579"/>
      <c r="J1104" s="580"/>
      <c r="K1104" s="81"/>
      <c r="M1104" s="134"/>
      <c r="N1104" s="134"/>
      <c r="O1104" s="133"/>
    </row>
    <row r="1105" spans="1:15" ht="8.25" customHeight="1">
      <c r="A1105" s="80"/>
      <c r="K1105" s="81"/>
      <c r="M1105" s="134"/>
      <c r="N1105" s="134"/>
      <c r="O1105" s="133"/>
    </row>
    <row r="1106" spans="1:15" ht="12.75" customHeight="1">
      <c r="A1106" s="80"/>
      <c r="B1106" s="82" t="s">
        <v>67</v>
      </c>
      <c r="C1106" s="581" t="s">
        <v>66</v>
      </c>
      <c r="D1106" s="582"/>
      <c r="E1106" s="582"/>
      <c r="F1106" s="582"/>
      <c r="G1106" s="582"/>
      <c r="H1106" s="582"/>
      <c r="I1106" s="582"/>
      <c r="J1106" s="583"/>
      <c r="K1106" s="81"/>
      <c r="M1106" s="134"/>
      <c r="N1106" s="134"/>
      <c r="O1106" s="133"/>
    </row>
    <row r="1107" spans="1:15" ht="7.5" customHeight="1">
      <c r="A1107" s="80"/>
      <c r="B1107" s="79"/>
      <c r="D1107" s="78"/>
      <c r="E1107" s="78"/>
      <c r="F1107" s="78"/>
      <c r="G1107" s="78"/>
      <c r="H1107" s="78"/>
      <c r="I1107" s="78"/>
      <c r="K1107" s="77"/>
      <c r="M1107" s="134"/>
      <c r="N1107" s="134"/>
      <c r="O1107" s="133"/>
    </row>
    <row r="1108" spans="1:15" ht="12.75" customHeight="1">
      <c r="A1108" s="584" t="s">
        <v>84</v>
      </c>
      <c r="B1108" s="585" t="s">
        <v>83</v>
      </c>
      <c r="C1108" s="585" t="s">
        <v>82</v>
      </c>
      <c r="D1108" s="585" t="s">
        <v>81</v>
      </c>
      <c r="E1108" s="564" t="s">
        <v>80</v>
      </c>
      <c r="F1108" s="564"/>
      <c r="G1108" s="564"/>
      <c r="H1108" s="564" t="s">
        <v>79</v>
      </c>
      <c r="I1108" s="564"/>
      <c r="J1108" s="564"/>
      <c r="K1108" s="565" t="s">
        <v>58</v>
      </c>
      <c r="M1108" s="134"/>
      <c r="N1108" s="134"/>
      <c r="O1108" s="133"/>
    </row>
    <row r="1109" spans="1:15" ht="12.75" customHeight="1">
      <c r="A1109" s="584"/>
      <c r="B1109" s="585"/>
      <c r="C1109" s="585"/>
      <c r="D1109" s="585"/>
      <c r="E1109" s="125" t="s">
        <v>78</v>
      </c>
      <c r="F1109" s="125" t="s">
        <v>77</v>
      </c>
      <c r="G1109" s="125" t="s">
        <v>76</v>
      </c>
      <c r="H1109" s="125" t="s">
        <v>75</v>
      </c>
      <c r="I1109" s="125" t="s">
        <v>74</v>
      </c>
      <c r="J1109" s="125" t="s">
        <v>73</v>
      </c>
      <c r="K1109" s="565"/>
      <c r="M1109" s="134"/>
      <c r="N1109" s="134"/>
      <c r="O1109" s="133"/>
    </row>
    <row r="1110" spans="1:15" ht="12.75" customHeight="1">
      <c r="A1110" s="584"/>
      <c r="B1110" s="585"/>
      <c r="C1110" s="585"/>
      <c r="D1110" s="585"/>
      <c r="E1110" s="125" t="s">
        <v>70</v>
      </c>
      <c r="F1110" s="125" t="s">
        <v>70</v>
      </c>
      <c r="G1110" s="125" t="s">
        <v>70</v>
      </c>
      <c r="H1110" s="125" t="s">
        <v>72</v>
      </c>
      <c r="I1110" s="125" t="s">
        <v>71</v>
      </c>
      <c r="J1110" s="125" t="s">
        <v>70</v>
      </c>
      <c r="K1110" s="565"/>
      <c r="M1110" s="134"/>
      <c r="N1110" s="134"/>
      <c r="O1110" s="133"/>
    </row>
    <row r="1111" spans="1:15" ht="12.6" customHeight="1">
      <c r="A1111" s="66">
        <v>14</v>
      </c>
      <c r="B1111" s="65" t="s">
        <v>125</v>
      </c>
      <c r="C1111" s="64" t="s">
        <v>48</v>
      </c>
      <c r="D1111" s="76"/>
      <c r="E1111" s="75"/>
      <c r="F1111" s="75"/>
      <c r="G1111" s="75"/>
      <c r="H1111" s="75"/>
      <c r="I1111" s="75"/>
      <c r="J1111" s="74"/>
      <c r="K1111" s="63" t="e">
        <f>SUM(H1112:H1120)+SUM(#REF!)</f>
        <v>#REF!</v>
      </c>
      <c r="M1111" s="134"/>
      <c r="N1111" s="134"/>
      <c r="O1111" s="133"/>
    </row>
    <row r="1112" spans="1:15" ht="12.6" customHeight="1">
      <c r="A1112" s="108"/>
      <c r="B1112" s="236" t="s">
        <v>659</v>
      </c>
      <c r="C1112" s="104"/>
      <c r="D1112" s="73">
        <v>1</v>
      </c>
      <c r="E1112" s="250" t="s">
        <v>658</v>
      </c>
      <c r="F1112" s="72">
        <v>1.64</v>
      </c>
      <c r="G1112" s="72">
        <v>2.38</v>
      </c>
      <c r="H1112" s="72">
        <f>D1112*F1112*G1112</f>
        <v>3.9031999999999996</v>
      </c>
      <c r="I1112" s="72"/>
      <c r="J1112" s="124"/>
      <c r="K1112" s="107"/>
      <c r="M1112" s="134"/>
      <c r="N1112" s="134"/>
      <c r="O1112" s="133"/>
    </row>
    <row r="1113" spans="1:15" ht="12.6" customHeight="1">
      <c r="A1113" s="118"/>
      <c r="B1113" s="237" t="s">
        <v>660</v>
      </c>
      <c r="C1113" s="93"/>
      <c r="D1113" s="69">
        <v>1</v>
      </c>
      <c r="E1113" s="251" t="s">
        <v>658</v>
      </c>
      <c r="F1113" s="68">
        <v>0.35</v>
      </c>
      <c r="G1113" s="68">
        <v>2.38</v>
      </c>
      <c r="H1113" s="68">
        <f t="shared" ref="H1113:H1120" si="67">D1113*F1113*G1113</f>
        <v>0.83299999999999996</v>
      </c>
      <c r="I1113" s="68"/>
      <c r="J1113" s="114"/>
      <c r="K1113" s="117"/>
      <c r="M1113" s="134"/>
      <c r="N1113" s="134"/>
      <c r="O1113" s="133"/>
    </row>
    <row r="1114" spans="1:15" ht="12.6" customHeight="1">
      <c r="A1114" s="118"/>
      <c r="B1114" s="237" t="s">
        <v>661</v>
      </c>
      <c r="C1114" s="93"/>
      <c r="D1114" s="69">
        <v>1</v>
      </c>
      <c r="E1114" s="251" t="s">
        <v>658</v>
      </c>
      <c r="F1114" s="68">
        <v>0.35</v>
      </c>
      <c r="G1114" s="68">
        <v>2.38</v>
      </c>
      <c r="H1114" s="68">
        <f t="shared" si="67"/>
        <v>0.83299999999999996</v>
      </c>
      <c r="I1114" s="68"/>
      <c r="J1114" s="114"/>
      <c r="K1114" s="117"/>
      <c r="M1114" s="134"/>
      <c r="N1114" s="134"/>
      <c r="O1114" s="133"/>
    </row>
    <row r="1115" spans="1:15" ht="12.6" customHeight="1">
      <c r="A1115" s="118"/>
      <c r="B1115" s="237" t="s">
        <v>662</v>
      </c>
      <c r="C1115" s="93"/>
      <c r="D1115" s="69">
        <v>1</v>
      </c>
      <c r="E1115" s="251" t="s">
        <v>658</v>
      </c>
      <c r="F1115" s="68">
        <v>1.47</v>
      </c>
      <c r="G1115" s="68">
        <v>2.38</v>
      </c>
      <c r="H1115" s="68">
        <f t="shared" si="67"/>
        <v>3.4985999999999997</v>
      </c>
      <c r="I1115" s="68"/>
      <c r="J1115" s="114"/>
      <c r="K1115" s="117"/>
      <c r="M1115" s="134"/>
      <c r="N1115" s="134"/>
      <c r="O1115" s="133"/>
    </row>
    <row r="1116" spans="1:15" ht="12.6" customHeight="1">
      <c r="A1116" s="118"/>
      <c r="B1116" s="237" t="s">
        <v>663</v>
      </c>
      <c r="C1116" s="93"/>
      <c r="D1116" s="69">
        <v>1</v>
      </c>
      <c r="E1116" s="251" t="s">
        <v>658</v>
      </c>
      <c r="F1116" s="68">
        <v>1.28</v>
      </c>
      <c r="G1116" s="68">
        <v>2.38</v>
      </c>
      <c r="H1116" s="68">
        <f t="shared" si="67"/>
        <v>3.0463999999999998</v>
      </c>
      <c r="I1116" s="68"/>
      <c r="J1116" s="114"/>
      <c r="K1116" s="117"/>
      <c r="M1116" s="134"/>
      <c r="N1116" s="134"/>
      <c r="O1116" s="133"/>
    </row>
    <row r="1117" spans="1:15" ht="12.6" customHeight="1">
      <c r="A1117" s="118"/>
      <c r="B1117" s="237" t="s">
        <v>664</v>
      </c>
      <c r="C1117" s="93"/>
      <c r="D1117" s="69">
        <v>1</v>
      </c>
      <c r="E1117" s="251" t="s">
        <v>658</v>
      </c>
      <c r="F1117" s="68">
        <v>0.35</v>
      </c>
      <c r="G1117" s="68">
        <v>2.38</v>
      </c>
      <c r="H1117" s="68">
        <f t="shared" si="67"/>
        <v>0.83299999999999996</v>
      </c>
      <c r="I1117" s="68"/>
      <c r="J1117" s="114"/>
      <c r="K1117" s="117"/>
      <c r="M1117" s="134"/>
      <c r="N1117" s="134"/>
      <c r="O1117" s="133"/>
    </row>
    <row r="1118" spans="1:15" ht="12.6" customHeight="1">
      <c r="A1118" s="118"/>
      <c r="B1118" s="237" t="s">
        <v>665</v>
      </c>
      <c r="C1118" s="93"/>
      <c r="D1118" s="69">
        <v>1</v>
      </c>
      <c r="E1118" s="251" t="s">
        <v>658</v>
      </c>
      <c r="F1118" s="68">
        <v>0.35</v>
      </c>
      <c r="G1118" s="68">
        <v>2.38</v>
      </c>
      <c r="H1118" s="68">
        <f t="shared" si="67"/>
        <v>0.83299999999999996</v>
      </c>
      <c r="I1118" s="68"/>
      <c r="J1118" s="114"/>
      <c r="K1118" s="117"/>
      <c r="M1118" s="134"/>
      <c r="N1118" s="134"/>
      <c r="O1118" s="133"/>
    </row>
    <row r="1119" spans="1:15" ht="12.6" customHeight="1">
      <c r="A1119" s="118"/>
      <c r="B1119" s="237" t="s">
        <v>666</v>
      </c>
      <c r="C1119" s="93"/>
      <c r="D1119" s="69">
        <v>1</v>
      </c>
      <c r="E1119" s="251" t="s">
        <v>658</v>
      </c>
      <c r="F1119" s="68">
        <v>1.32</v>
      </c>
      <c r="G1119" s="68">
        <v>2.38</v>
      </c>
      <c r="H1119" s="68">
        <f t="shared" si="67"/>
        <v>3.1415999999999999</v>
      </c>
      <c r="I1119" s="68"/>
      <c r="J1119" s="114"/>
      <c r="K1119" s="117"/>
      <c r="M1119" s="134"/>
      <c r="N1119" s="134"/>
      <c r="O1119" s="133"/>
    </row>
    <row r="1120" spans="1:15" ht="12.6" customHeight="1" thickBot="1">
      <c r="A1120" s="143"/>
      <c r="B1120" s="285" t="s">
        <v>667</v>
      </c>
      <c r="C1120" s="144"/>
      <c r="D1120" s="95">
        <v>1</v>
      </c>
      <c r="E1120" s="286" t="s">
        <v>658</v>
      </c>
      <c r="F1120" s="92">
        <v>1.28</v>
      </c>
      <c r="G1120" s="92">
        <v>2.38</v>
      </c>
      <c r="H1120" s="92">
        <f t="shared" si="67"/>
        <v>3.0463999999999998</v>
      </c>
      <c r="I1120" s="92"/>
      <c r="J1120" s="145"/>
      <c r="K1120" s="146"/>
      <c r="M1120" s="134"/>
      <c r="N1120" s="134"/>
      <c r="O1120" s="133"/>
    </row>
    <row r="1121" spans="1:15" ht="12.75" customHeight="1" thickTop="1">
      <c r="A1121" s="91"/>
      <c r="B1121" s="90"/>
      <c r="C1121" s="90"/>
      <c r="D1121" s="90"/>
      <c r="E1121" s="90"/>
      <c r="F1121" s="90"/>
      <c r="G1121" s="90"/>
      <c r="H1121" s="90"/>
      <c r="I1121" s="90"/>
      <c r="J1121" s="90"/>
      <c r="K1121" s="89"/>
      <c r="M1121" s="134"/>
      <c r="N1121" s="134"/>
      <c r="O1121" s="133"/>
    </row>
    <row r="1122" spans="1:15" ht="18" customHeight="1">
      <c r="A1122" s="569" t="s">
        <v>29</v>
      </c>
      <c r="B1122" s="570"/>
      <c r="C1122" s="570"/>
      <c r="D1122" s="570"/>
      <c r="E1122" s="570"/>
      <c r="F1122" s="570"/>
      <c r="G1122" s="570"/>
      <c r="H1122" s="570"/>
      <c r="I1122" s="570"/>
      <c r="J1122" s="570"/>
      <c r="K1122" s="571"/>
      <c r="M1122" s="134"/>
      <c r="N1122" s="134"/>
      <c r="O1122" s="133"/>
    </row>
    <row r="1123" spans="1:15" ht="16.5" customHeight="1">
      <c r="A1123" s="572" t="s">
        <v>69</v>
      </c>
      <c r="B1123" s="573"/>
      <c r="C1123" s="573"/>
      <c r="D1123" s="573"/>
      <c r="E1123" s="573"/>
      <c r="F1123" s="573"/>
      <c r="G1123" s="573"/>
      <c r="H1123" s="573"/>
      <c r="I1123" s="573"/>
      <c r="J1123" s="573"/>
      <c r="K1123" s="574"/>
      <c r="M1123" s="134"/>
      <c r="N1123" s="134"/>
      <c r="O1123" s="133"/>
    </row>
    <row r="1124" spans="1:15" ht="15" customHeight="1">
      <c r="A1124" s="88"/>
      <c r="B1124" s="85"/>
      <c r="C1124" s="85"/>
      <c r="D1124" s="85"/>
      <c r="E1124" s="85"/>
      <c r="F1124" s="85"/>
      <c r="G1124" s="85"/>
      <c r="H1124" s="85"/>
      <c r="I1124" s="85"/>
      <c r="J1124" s="85"/>
      <c r="K1124" s="87"/>
      <c r="M1124" s="134"/>
      <c r="N1124" s="134"/>
      <c r="O1124" s="133"/>
    </row>
    <row r="1125" spans="1:15" ht="8.25" customHeight="1">
      <c r="A1125" s="55"/>
      <c r="B1125" s="86"/>
      <c r="C1125" s="86"/>
      <c r="D1125" s="86"/>
      <c r="E1125" s="86"/>
      <c r="F1125" s="86"/>
      <c r="G1125" s="86"/>
      <c r="H1125" s="86"/>
      <c r="I1125" s="86"/>
      <c r="J1125" s="86"/>
      <c r="K1125" s="81"/>
      <c r="M1125" s="134"/>
      <c r="N1125" s="134"/>
      <c r="O1125" s="133"/>
    </row>
    <row r="1126" spans="1:15" ht="12.75" customHeight="1">
      <c r="A1126" s="575" t="s">
        <v>68</v>
      </c>
      <c r="B1126" s="576"/>
      <c r="C1126" s="576"/>
      <c r="D1126" s="576"/>
      <c r="E1126" s="576"/>
      <c r="F1126" s="576"/>
      <c r="G1126" s="576"/>
      <c r="H1126" s="576"/>
      <c r="I1126" s="576"/>
      <c r="J1126" s="576"/>
      <c r="K1126" s="577"/>
      <c r="M1126" s="134"/>
      <c r="N1126" s="134"/>
      <c r="O1126" s="133"/>
    </row>
    <row r="1127" spans="1:15" ht="6.75" customHeight="1">
      <c r="A1127" s="55"/>
      <c r="B1127" s="86"/>
      <c r="C1127" s="86"/>
      <c r="D1127" s="86"/>
      <c r="E1127" s="86"/>
      <c r="F1127" s="86"/>
      <c r="G1127" s="86"/>
      <c r="H1127" s="86"/>
      <c r="I1127" s="86"/>
      <c r="J1127" s="85"/>
      <c r="K1127" s="81"/>
      <c r="M1127" s="134"/>
      <c r="N1127" s="134"/>
      <c r="O1127" s="133"/>
    </row>
    <row r="1128" spans="1:15" ht="12.75" customHeight="1">
      <c r="A1128" s="84"/>
      <c r="B1128" s="83" t="s">
        <v>11</v>
      </c>
      <c r="C1128" s="578" t="s">
        <v>361</v>
      </c>
      <c r="D1128" s="579"/>
      <c r="E1128" s="579"/>
      <c r="F1128" s="579"/>
      <c r="G1128" s="579"/>
      <c r="H1128" s="579"/>
      <c r="I1128" s="579"/>
      <c r="J1128" s="580"/>
      <c r="K1128" s="81"/>
      <c r="M1128" s="134"/>
      <c r="N1128" s="134"/>
      <c r="O1128" s="133"/>
    </row>
    <row r="1129" spans="1:15" ht="9" customHeight="1">
      <c r="A1129" s="80"/>
      <c r="K1129" s="81"/>
      <c r="M1129" s="134"/>
      <c r="N1129" s="134"/>
      <c r="O1129" s="133"/>
    </row>
    <row r="1130" spans="1:15" ht="12.75" customHeight="1">
      <c r="A1130" s="80"/>
      <c r="B1130" s="82" t="s">
        <v>67</v>
      </c>
      <c r="C1130" s="581" t="s">
        <v>66</v>
      </c>
      <c r="D1130" s="582"/>
      <c r="E1130" s="582"/>
      <c r="F1130" s="582"/>
      <c r="G1130" s="582"/>
      <c r="H1130" s="582"/>
      <c r="I1130" s="582"/>
      <c r="J1130" s="583"/>
      <c r="K1130" s="81"/>
      <c r="M1130" s="134"/>
      <c r="N1130" s="134"/>
      <c r="O1130" s="133"/>
    </row>
    <row r="1131" spans="1:15" ht="9" customHeight="1">
      <c r="A1131" s="279"/>
      <c r="B1131" s="280"/>
      <c r="C1131" s="281"/>
      <c r="D1131" s="282"/>
      <c r="E1131" s="282"/>
      <c r="F1131" s="282"/>
      <c r="G1131" s="282"/>
      <c r="H1131" s="282"/>
      <c r="I1131" s="282"/>
      <c r="J1131" s="281"/>
      <c r="K1131" s="283"/>
      <c r="M1131" s="134"/>
      <c r="N1131" s="134"/>
      <c r="O1131" s="133"/>
    </row>
    <row r="1132" spans="1:15" ht="12.75" customHeight="1">
      <c r="A1132" s="584" t="s">
        <v>84</v>
      </c>
      <c r="B1132" s="585" t="s">
        <v>83</v>
      </c>
      <c r="C1132" s="585" t="s">
        <v>82</v>
      </c>
      <c r="D1132" s="585" t="s">
        <v>81</v>
      </c>
      <c r="E1132" s="564" t="s">
        <v>80</v>
      </c>
      <c r="F1132" s="564"/>
      <c r="G1132" s="564"/>
      <c r="H1132" s="564" t="s">
        <v>79</v>
      </c>
      <c r="I1132" s="564"/>
      <c r="J1132" s="564"/>
      <c r="K1132" s="565" t="s">
        <v>58</v>
      </c>
      <c r="M1132" s="134"/>
      <c r="N1132" s="134"/>
      <c r="O1132" s="133"/>
    </row>
    <row r="1133" spans="1:15" ht="12.75" customHeight="1">
      <c r="A1133" s="584"/>
      <c r="B1133" s="585"/>
      <c r="C1133" s="585"/>
      <c r="D1133" s="585"/>
      <c r="E1133" s="125" t="s">
        <v>78</v>
      </c>
      <c r="F1133" s="125" t="s">
        <v>77</v>
      </c>
      <c r="G1133" s="125" t="s">
        <v>76</v>
      </c>
      <c r="H1133" s="125" t="s">
        <v>75</v>
      </c>
      <c r="I1133" s="125" t="s">
        <v>74</v>
      </c>
      <c r="J1133" s="125" t="s">
        <v>73</v>
      </c>
      <c r="K1133" s="565"/>
      <c r="M1133" s="134"/>
      <c r="N1133" s="134"/>
      <c r="O1133" s="133"/>
    </row>
    <row r="1134" spans="1:15" ht="12.75" customHeight="1">
      <c r="A1134" s="584"/>
      <c r="B1134" s="585"/>
      <c r="C1134" s="585"/>
      <c r="D1134" s="585"/>
      <c r="E1134" s="125" t="s">
        <v>70</v>
      </c>
      <c r="F1134" s="125" t="s">
        <v>70</v>
      </c>
      <c r="G1134" s="125" t="s">
        <v>70</v>
      </c>
      <c r="H1134" s="125" t="s">
        <v>72</v>
      </c>
      <c r="I1134" s="125" t="s">
        <v>71</v>
      </c>
      <c r="J1134" s="125" t="s">
        <v>70</v>
      </c>
      <c r="K1134" s="565"/>
      <c r="M1134" s="134"/>
      <c r="N1134" s="134"/>
      <c r="O1134" s="133"/>
    </row>
    <row r="1135" spans="1:15" ht="12.75" customHeight="1">
      <c r="A1135" s="66">
        <v>15</v>
      </c>
      <c r="B1135" s="65" t="s">
        <v>47</v>
      </c>
      <c r="C1135" s="64" t="s">
        <v>48</v>
      </c>
      <c r="D1135" s="76"/>
      <c r="E1135" s="75"/>
      <c r="F1135" s="75"/>
      <c r="G1135" s="75"/>
      <c r="H1135" s="75"/>
      <c r="I1135" s="75"/>
      <c r="J1135" s="74"/>
      <c r="K1135" s="63"/>
      <c r="M1135" s="134"/>
      <c r="N1135" s="134"/>
      <c r="O1135" s="133"/>
    </row>
    <row r="1136" spans="1:15" ht="12.75" customHeight="1">
      <c r="A1136" s="108"/>
      <c r="B1136" s="112" t="s">
        <v>423</v>
      </c>
      <c r="C1136" s="104"/>
      <c r="D1136" s="73">
        <v>1</v>
      </c>
      <c r="E1136" s="72"/>
      <c r="F1136" s="72"/>
      <c r="G1136" s="72"/>
      <c r="H1136" s="72">
        <f>K24+K73+K1142+K1206+K1264</f>
        <v>588.13004999999998</v>
      </c>
      <c r="I1136" s="72"/>
      <c r="J1136" s="124"/>
      <c r="K1136" s="107"/>
      <c r="M1136" s="134"/>
      <c r="N1136" s="134"/>
      <c r="O1136" s="133"/>
    </row>
    <row r="1137" spans="1:15" ht="12.75" customHeight="1">
      <c r="A1137" s="118"/>
      <c r="B1137" s="94" t="s">
        <v>424</v>
      </c>
      <c r="C1137" s="93"/>
      <c r="D1137" s="69">
        <v>-1</v>
      </c>
      <c r="E1137" s="68"/>
      <c r="F1137" s="68"/>
      <c r="G1137" s="68"/>
      <c r="H1137" s="68">
        <f>K94*D1137</f>
        <v>-641.08116718361225</v>
      </c>
      <c r="I1137" s="68"/>
      <c r="J1137" s="114"/>
      <c r="K1137" s="117"/>
      <c r="M1137" s="134"/>
      <c r="N1137" s="134"/>
      <c r="O1137" s="133"/>
    </row>
    <row r="1138" spans="1:15" ht="12.75" customHeight="1">
      <c r="A1138" s="115"/>
      <c r="B1138" s="111" t="s">
        <v>425</v>
      </c>
      <c r="C1138" s="140"/>
      <c r="D1138" s="71"/>
      <c r="E1138" s="70"/>
      <c r="F1138" s="70"/>
      <c r="G1138" s="70"/>
      <c r="H1138" s="70">
        <f>SUM(H1136:H1137)*0.2</f>
        <v>-10.590223436722454</v>
      </c>
      <c r="I1138" s="70"/>
      <c r="J1138" s="141"/>
      <c r="K1138" s="113"/>
      <c r="M1138" s="134"/>
      <c r="N1138" s="134"/>
      <c r="O1138" s="133"/>
    </row>
    <row r="1139" spans="1:15" ht="12.75" customHeight="1">
      <c r="A1139" s="66">
        <v>16</v>
      </c>
      <c r="B1139" s="65" t="s">
        <v>126</v>
      </c>
      <c r="C1139" s="64" t="s">
        <v>53</v>
      </c>
      <c r="D1139" s="76"/>
      <c r="E1139" s="75"/>
      <c r="F1139" s="75"/>
      <c r="G1139" s="75"/>
      <c r="H1139" s="75"/>
      <c r="I1139" s="75"/>
      <c r="J1139" s="74"/>
      <c r="K1139" s="63">
        <f>D1140</f>
        <v>1</v>
      </c>
      <c r="M1139" s="134"/>
      <c r="N1139" s="134"/>
      <c r="O1139" s="133"/>
    </row>
    <row r="1140" spans="1:15" ht="12.75" customHeight="1">
      <c r="A1140" s="103"/>
      <c r="B1140" s="123" t="s">
        <v>126</v>
      </c>
      <c r="C1140" s="122"/>
      <c r="D1140" s="62">
        <v>1</v>
      </c>
      <c r="E1140" s="61"/>
      <c r="F1140" s="61"/>
      <c r="G1140" s="61"/>
      <c r="H1140" s="61"/>
      <c r="I1140" s="61"/>
      <c r="J1140" s="121"/>
      <c r="K1140" s="120"/>
      <c r="M1140" s="134"/>
      <c r="N1140" s="134"/>
      <c r="O1140" s="133"/>
    </row>
    <row r="1141" spans="1:15" ht="12.75" customHeight="1">
      <c r="A1141" s="589" t="s">
        <v>57</v>
      </c>
      <c r="B1141" s="590"/>
      <c r="C1141" s="590"/>
      <c r="D1141" s="590"/>
      <c r="E1141" s="590"/>
      <c r="F1141" s="590"/>
      <c r="G1141" s="590"/>
      <c r="H1141" s="590"/>
      <c r="I1141" s="590"/>
      <c r="J1141" s="590"/>
      <c r="K1141" s="591"/>
      <c r="M1141" s="134"/>
      <c r="N1141" s="134"/>
      <c r="O1141" s="133"/>
    </row>
    <row r="1142" spans="1:15" ht="12.75" customHeight="1">
      <c r="A1142" s="66">
        <v>34</v>
      </c>
      <c r="B1142" s="65" t="s">
        <v>91</v>
      </c>
      <c r="C1142" s="64" t="s">
        <v>48</v>
      </c>
      <c r="D1142" s="76"/>
      <c r="E1142" s="75"/>
      <c r="F1142" s="75"/>
      <c r="G1142" s="75"/>
      <c r="H1142" s="75"/>
      <c r="I1142" s="75"/>
      <c r="J1142" s="74"/>
      <c r="K1142" s="63">
        <f>SUM(H1143:H1175)+SUM(H1190:H1205)</f>
        <v>7.5808000000000018</v>
      </c>
      <c r="M1142" s="134"/>
      <c r="N1142" s="134"/>
      <c r="O1142" s="133"/>
    </row>
    <row r="1143" spans="1:15" ht="12.75" customHeight="1">
      <c r="A1143" s="118"/>
      <c r="B1143" s="119" t="s">
        <v>154</v>
      </c>
      <c r="C1143" s="93"/>
      <c r="D1143" s="69"/>
      <c r="E1143" s="68"/>
      <c r="F1143" s="68"/>
      <c r="G1143" s="68"/>
      <c r="H1143" s="68"/>
      <c r="I1143" s="68"/>
      <c r="J1143" s="114"/>
      <c r="K1143" s="117"/>
      <c r="M1143" s="134"/>
      <c r="N1143" s="134"/>
      <c r="O1143" s="133"/>
    </row>
    <row r="1144" spans="1:15" ht="12.75" customHeight="1">
      <c r="A1144" s="118"/>
      <c r="B1144" s="94" t="s">
        <v>155</v>
      </c>
      <c r="C1144" s="93"/>
      <c r="D1144" s="69">
        <v>1</v>
      </c>
      <c r="E1144" s="68">
        <v>0.2</v>
      </c>
      <c r="F1144" s="68">
        <v>0.4</v>
      </c>
      <c r="G1144" s="68">
        <v>2.08</v>
      </c>
      <c r="H1144" s="68">
        <f>PRODUCT(D1144:G1144)</f>
        <v>0.16640000000000005</v>
      </c>
      <c r="I1144" s="68"/>
      <c r="J1144" s="114"/>
      <c r="K1144" s="117"/>
      <c r="M1144" s="134"/>
      <c r="N1144" s="134"/>
      <c r="O1144" s="133"/>
    </row>
    <row r="1145" spans="1:15" ht="12.75" customHeight="1">
      <c r="A1145" s="118"/>
      <c r="B1145" s="94" t="s">
        <v>156</v>
      </c>
      <c r="C1145" s="93"/>
      <c r="D1145" s="69">
        <v>1</v>
      </c>
      <c r="E1145" s="68">
        <v>0.2</v>
      </c>
      <c r="F1145" s="68">
        <v>0.4</v>
      </c>
      <c r="G1145" s="68">
        <v>1.34</v>
      </c>
      <c r="H1145" s="68">
        <f t="shared" ref="H1145:H1205" si="68">PRODUCT(D1145:G1145)</f>
        <v>0.10720000000000003</v>
      </c>
      <c r="I1145" s="68"/>
      <c r="J1145" s="114"/>
      <c r="K1145" s="117"/>
      <c r="M1145" s="134"/>
      <c r="N1145" s="134"/>
      <c r="O1145" s="133"/>
    </row>
    <row r="1146" spans="1:15" ht="12.75" customHeight="1">
      <c r="A1146" s="118"/>
      <c r="B1146" s="94" t="s">
        <v>157</v>
      </c>
      <c r="C1146" s="93"/>
      <c r="D1146" s="69">
        <v>1</v>
      </c>
      <c r="E1146" s="68">
        <v>0.2</v>
      </c>
      <c r="F1146" s="68">
        <v>0.4</v>
      </c>
      <c r="G1146" s="68">
        <v>0.95</v>
      </c>
      <c r="H1146" s="68">
        <f t="shared" si="68"/>
        <v>7.6000000000000012E-2</v>
      </c>
      <c r="I1146" s="68"/>
      <c r="J1146" s="114"/>
      <c r="K1146" s="117"/>
      <c r="M1146" s="134"/>
      <c r="N1146" s="134"/>
      <c r="O1146" s="133"/>
    </row>
    <row r="1147" spans="1:15" ht="12.75" customHeight="1">
      <c r="A1147" s="118"/>
      <c r="B1147" s="94" t="s">
        <v>158</v>
      </c>
      <c r="C1147" s="93"/>
      <c r="D1147" s="69">
        <v>1</v>
      </c>
      <c r="E1147" s="68">
        <v>0.2</v>
      </c>
      <c r="F1147" s="68">
        <v>0.4</v>
      </c>
      <c r="G1147" s="68">
        <v>2.9</v>
      </c>
      <c r="H1147" s="68">
        <f t="shared" si="68"/>
        <v>0.23200000000000004</v>
      </c>
      <c r="I1147" s="68"/>
      <c r="J1147" s="114"/>
      <c r="K1147" s="117"/>
      <c r="M1147" s="134"/>
      <c r="N1147" s="134"/>
      <c r="O1147" s="133"/>
    </row>
    <row r="1148" spans="1:15" ht="12.75" customHeight="1">
      <c r="A1148" s="118"/>
      <c r="B1148" s="94" t="s">
        <v>159</v>
      </c>
      <c r="C1148" s="93"/>
      <c r="D1148" s="69">
        <v>1</v>
      </c>
      <c r="E1148" s="68">
        <v>0.2</v>
      </c>
      <c r="F1148" s="68">
        <v>0.4</v>
      </c>
      <c r="G1148" s="68">
        <v>2.2000000000000002</v>
      </c>
      <c r="H1148" s="68">
        <f t="shared" si="68"/>
        <v>0.17600000000000005</v>
      </c>
      <c r="I1148" s="68"/>
      <c r="J1148" s="114"/>
      <c r="K1148" s="117"/>
      <c r="M1148" s="134"/>
      <c r="N1148" s="134"/>
      <c r="O1148" s="133"/>
    </row>
    <row r="1149" spans="1:15" ht="12.75" customHeight="1">
      <c r="A1149" s="118"/>
      <c r="B1149" s="94" t="s">
        <v>160</v>
      </c>
      <c r="C1149" s="93"/>
      <c r="D1149" s="69">
        <v>1</v>
      </c>
      <c r="E1149" s="68">
        <v>0.2</v>
      </c>
      <c r="F1149" s="68">
        <v>0.4</v>
      </c>
      <c r="G1149" s="68">
        <v>2.35</v>
      </c>
      <c r="H1149" s="68">
        <f t="shared" si="68"/>
        <v>0.18800000000000006</v>
      </c>
      <c r="I1149" s="68"/>
      <c r="J1149" s="114"/>
      <c r="K1149" s="117"/>
      <c r="M1149" s="134"/>
      <c r="N1149" s="134"/>
      <c r="O1149" s="133"/>
    </row>
    <row r="1150" spans="1:15" ht="12.75" customHeight="1">
      <c r="A1150" s="115"/>
      <c r="B1150" s="111" t="s">
        <v>161</v>
      </c>
      <c r="C1150" s="140"/>
      <c r="D1150" s="71">
        <v>1</v>
      </c>
      <c r="E1150" s="70">
        <v>0.2</v>
      </c>
      <c r="F1150" s="70">
        <v>0.4</v>
      </c>
      <c r="G1150" s="70">
        <v>0.55000000000000004</v>
      </c>
      <c r="H1150" s="70">
        <f t="shared" si="68"/>
        <v>4.4000000000000011E-2</v>
      </c>
      <c r="I1150" s="70"/>
      <c r="J1150" s="141"/>
      <c r="K1150" s="113"/>
      <c r="M1150" s="134"/>
      <c r="N1150" s="134"/>
      <c r="O1150" s="133"/>
    </row>
    <row r="1151" spans="1:15" ht="12.75" customHeight="1">
      <c r="A1151" s="108"/>
      <c r="B1151" s="112" t="s">
        <v>162</v>
      </c>
      <c r="C1151" s="104"/>
      <c r="D1151" s="73">
        <v>1</v>
      </c>
      <c r="E1151" s="72">
        <v>0.2</v>
      </c>
      <c r="F1151" s="72">
        <v>0.4</v>
      </c>
      <c r="G1151" s="72">
        <v>1.48</v>
      </c>
      <c r="H1151" s="72">
        <f t="shared" si="68"/>
        <v>0.11840000000000002</v>
      </c>
      <c r="I1151" s="72"/>
      <c r="J1151" s="124"/>
      <c r="K1151" s="107"/>
      <c r="M1151" s="134"/>
      <c r="N1151" s="134"/>
      <c r="O1151" s="133"/>
    </row>
    <row r="1152" spans="1:15" ht="12.75" customHeight="1">
      <c r="A1152" s="118"/>
      <c r="B1152" s="94" t="s">
        <v>163</v>
      </c>
      <c r="C1152" s="93"/>
      <c r="D1152" s="69">
        <v>1</v>
      </c>
      <c r="E1152" s="68">
        <v>0.2</v>
      </c>
      <c r="F1152" s="68">
        <v>0.4</v>
      </c>
      <c r="G1152" s="68">
        <v>0.41</v>
      </c>
      <c r="H1152" s="68">
        <f t="shared" si="68"/>
        <v>3.2800000000000003E-2</v>
      </c>
      <c r="I1152" s="68"/>
      <c r="J1152" s="114"/>
      <c r="K1152" s="117"/>
      <c r="M1152" s="134"/>
      <c r="N1152" s="134"/>
      <c r="O1152" s="133"/>
    </row>
    <row r="1153" spans="1:15" ht="12.75" customHeight="1">
      <c r="A1153" s="118"/>
      <c r="B1153" s="94" t="s">
        <v>164</v>
      </c>
      <c r="C1153" s="93"/>
      <c r="D1153" s="69">
        <v>1</v>
      </c>
      <c r="E1153" s="68">
        <v>0.2</v>
      </c>
      <c r="F1153" s="68">
        <v>0.4</v>
      </c>
      <c r="G1153" s="68">
        <v>1.04</v>
      </c>
      <c r="H1153" s="68">
        <f t="shared" si="68"/>
        <v>8.3200000000000024E-2</v>
      </c>
      <c r="I1153" s="68"/>
      <c r="J1153" s="114"/>
      <c r="K1153" s="117"/>
      <c r="M1153" s="134"/>
      <c r="N1153" s="134"/>
      <c r="O1153" s="133"/>
    </row>
    <row r="1154" spans="1:15" ht="12.75" customHeight="1">
      <c r="A1154" s="118"/>
      <c r="B1154" s="94" t="s">
        <v>165</v>
      </c>
      <c r="C1154" s="93"/>
      <c r="D1154" s="69">
        <v>1</v>
      </c>
      <c r="E1154" s="68">
        <v>0.2</v>
      </c>
      <c r="F1154" s="68">
        <v>0.4</v>
      </c>
      <c r="G1154" s="68">
        <v>2.2000000000000002</v>
      </c>
      <c r="H1154" s="68">
        <f t="shared" si="68"/>
        <v>0.17600000000000005</v>
      </c>
      <c r="I1154" s="68"/>
      <c r="J1154" s="114"/>
      <c r="K1154" s="117"/>
      <c r="M1154" s="134"/>
      <c r="N1154" s="134"/>
      <c r="O1154" s="133"/>
    </row>
    <row r="1155" spans="1:15" ht="12.75" customHeight="1">
      <c r="A1155" s="118"/>
      <c r="B1155" s="94" t="s">
        <v>166</v>
      </c>
      <c r="C1155" s="93"/>
      <c r="D1155" s="69">
        <v>1</v>
      </c>
      <c r="E1155" s="68">
        <v>0.2</v>
      </c>
      <c r="F1155" s="68">
        <v>0.4</v>
      </c>
      <c r="G1155" s="68">
        <v>1.69</v>
      </c>
      <c r="H1155" s="68">
        <f t="shared" si="68"/>
        <v>0.13520000000000001</v>
      </c>
      <c r="I1155" s="68"/>
      <c r="J1155" s="114"/>
      <c r="K1155" s="117"/>
      <c r="M1155" s="134"/>
      <c r="N1155" s="134"/>
      <c r="O1155" s="133"/>
    </row>
    <row r="1156" spans="1:15" ht="12.75" customHeight="1">
      <c r="A1156" s="118"/>
      <c r="B1156" s="94" t="s">
        <v>169</v>
      </c>
      <c r="C1156" s="93"/>
      <c r="D1156" s="69">
        <v>1</v>
      </c>
      <c r="E1156" s="68">
        <v>0.2</v>
      </c>
      <c r="F1156" s="68">
        <v>0.4</v>
      </c>
      <c r="G1156" s="68">
        <v>0.27</v>
      </c>
      <c r="H1156" s="68">
        <f t="shared" si="68"/>
        <v>2.1600000000000005E-2</v>
      </c>
      <c r="I1156" s="68"/>
      <c r="J1156" s="114"/>
      <c r="K1156" s="117"/>
      <c r="M1156" s="134"/>
      <c r="N1156" s="134"/>
      <c r="O1156" s="133"/>
    </row>
    <row r="1157" spans="1:15" ht="12.75" customHeight="1">
      <c r="A1157" s="115"/>
      <c r="B1157" s="111" t="s">
        <v>167</v>
      </c>
      <c r="C1157" s="140"/>
      <c r="D1157" s="71">
        <v>1</v>
      </c>
      <c r="E1157" s="70">
        <v>0.2</v>
      </c>
      <c r="F1157" s="70">
        <v>0.4</v>
      </c>
      <c r="G1157" s="70">
        <v>0.28999999999999998</v>
      </c>
      <c r="H1157" s="70">
        <f t="shared" si="68"/>
        <v>2.3200000000000002E-2</v>
      </c>
      <c r="I1157" s="70"/>
      <c r="J1157" s="141"/>
      <c r="K1157" s="113"/>
      <c r="M1157" s="134"/>
      <c r="N1157" s="134"/>
      <c r="O1157" s="133"/>
    </row>
    <row r="1158" spans="1:15" ht="12.75" customHeight="1">
      <c r="A1158" s="108"/>
      <c r="B1158" s="112" t="s">
        <v>170</v>
      </c>
      <c r="C1158" s="104"/>
      <c r="D1158" s="73">
        <v>1</v>
      </c>
      <c r="E1158" s="72">
        <v>0.2</v>
      </c>
      <c r="F1158" s="72">
        <v>0.4</v>
      </c>
      <c r="G1158" s="72">
        <v>0.5</v>
      </c>
      <c r="H1158" s="72">
        <f t="shared" si="68"/>
        <v>4.0000000000000008E-2</v>
      </c>
      <c r="I1158" s="72"/>
      <c r="J1158" s="124"/>
      <c r="K1158" s="107"/>
      <c r="M1158" s="134"/>
      <c r="N1158" s="134"/>
      <c r="O1158" s="133"/>
    </row>
    <row r="1159" spans="1:15" ht="12.75" customHeight="1">
      <c r="A1159" s="118"/>
      <c r="B1159" s="94" t="s">
        <v>171</v>
      </c>
      <c r="C1159" s="93"/>
      <c r="D1159" s="69">
        <v>1</v>
      </c>
      <c r="E1159" s="68">
        <v>0.2</v>
      </c>
      <c r="F1159" s="68">
        <v>0.4</v>
      </c>
      <c r="G1159" s="68">
        <v>3.12</v>
      </c>
      <c r="H1159" s="68">
        <f t="shared" si="68"/>
        <v>0.24960000000000004</v>
      </c>
      <c r="I1159" s="68"/>
      <c r="J1159" s="114"/>
      <c r="K1159" s="117"/>
      <c r="M1159" s="134"/>
      <c r="N1159" s="134"/>
      <c r="O1159" s="133"/>
    </row>
    <row r="1160" spans="1:15" ht="12.75" customHeight="1">
      <c r="A1160" s="118"/>
      <c r="B1160" s="94" t="s">
        <v>173</v>
      </c>
      <c r="C1160" s="93"/>
      <c r="D1160" s="69">
        <v>1</v>
      </c>
      <c r="E1160" s="68">
        <v>0.2</v>
      </c>
      <c r="F1160" s="68">
        <v>0.4</v>
      </c>
      <c r="G1160" s="68">
        <v>4.2</v>
      </c>
      <c r="H1160" s="68">
        <f t="shared" si="68"/>
        <v>0.33600000000000008</v>
      </c>
      <c r="I1160" s="68"/>
      <c r="J1160" s="114"/>
      <c r="K1160" s="117"/>
      <c r="M1160" s="134"/>
      <c r="N1160" s="134"/>
      <c r="O1160" s="133"/>
    </row>
    <row r="1161" spans="1:15" ht="12.75" customHeight="1">
      <c r="A1161" s="118"/>
      <c r="B1161" s="94" t="s">
        <v>174</v>
      </c>
      <c r="C1161" s="93"/>
      <c r="D1161" s="69">
        <v>1</v>
      </c>
      <c r="E1161" s="68">
        <v>0.2</v>
      </c>
      <c r="F1161" s="68">
        <v>0.4</v>
      </c>
      <c r="G1161" s="68">
        <v>4.4000000000000004</v>
      </c>
      <c r="H1161" s="68">
        <f t="shared" si="68"/>
        <v>0.35200000000000009</v>
      </c>
      <c r="I1161" s="68"/>
      <c r="J1161" s="114"/>
      <c r="K1161" s="117"/>
      <c r="M1161" s="134"/>
      <c r="N1161" s="134"/>
      <c r="O1161" s="133"/>
    </row>
    <row r="1162" spans="1:15" ht="12.75" customHeight="1">
      <c r="A1162" s="115"/>
      <c r="B1162" s="111" t="s">
        <v>175</v>
      </c>
      <c r="C1162" s="140"/>
      <c r="D1162" s="71">
        <v>1</v>
      </c>
      <c r="E1162" s="70">
        <v>0.2</v>
      </c>
      <c r="F1162" s="70">
        <v>0.4</v>
      </c>
      <c r="G1162" s="70">
        <v>0.35</v>
      </c>
      <c r="H1162" s="70">
        <f t="shared" si="68"/>
        <v>2.8000000000000004E-2</v>
      </c>
      <c r="I1162" s="70"/>
      <c r="J1162" s="141"/>
      <c r="K1162" s="113"/>
      <c r="M1162" s="134"/>
      <c r="N1162" s="134"/>
      <c r="O1162" s="133"/>
    </row>
    <row r="1163" spans="1:15" ht="12.75" customHeight="1">
      <c r="A1163" s="108"/>
      <c r="B1163" s="112" t="s">
        <v>193</v>
      </c>
      <c r="C1163" s="104"/>
      <c r="D1163" s="73">
        <v>1</v>
      </c>
      <c r="E1163" s="72">
        <v>0.2</v>
      </c>
      <c r="F1163" s="72">
        <v>0.4</v>
      </c>
      <c r="G1163" s="72">
        <v>3.25</v>
      </c>
      <c r="H1163" s="72">
        <f t="shared" si="68"/>
        <v>0.26000000000000006</v>
      </c>
      <c r="I1163" s="72"/>
      <c r="J1163" s="124"/>
      <c r="K1163" s="107"/>
      <c r="M1163" s="134"/>
      <c r="N1163" s="134"/>
      <c r="O1163" s="133"/>
    </row>
    <row r="1164" spans="1:15" ht="12.75" customHeight="1">
      <c r="A1164" s="118"/>
      <c r="B1164" s="94" t="s">
        <v>194</v>
      </c>
      <c r="C1164" s="93"/>
      <c r="D1164" s="69">
        <v>1</v>
      </c>
      <c r="E1164" s="68">
        <v>0.2</v>
      </c>
      <c r="F1164" s="68">
        <v>0.4</v>
      </c>
      <c r="G1164" s="68">
        <v>2.9</v>
      </c>
      <c r="H1164" s="68">
        <f t="shared" si="68"/>
        <v>0.23200000000000004</v>
      </c>
      <c r="I1164" s="68"/>
      <c r="J1164" s="114"/>
      <c r="K1164" s="117"/>
      <c r="M1164" s="134"/>
      <c r="N1164" s="134"/>
      <c r="O1164" s="133"/>
    </row>
    <row r="1165" spans="1:15" ht="12.75" customHeight="1">
      <c r="A1165" s="118"/>
      <c r="B1165" s="94" t="s">
        <v>195</v>
      </c>
      <c r="C1165" s="93"/>
      <c r="D1165" s="69">
        <v>1</v>
      </c>
      <c r="E1165" s="68">
        <v>0.2</v>
      </c>
      <c r="F1165" s="68">
        <v>0.4</v>
      </c>
      <c r="G1165" s="68">
        <v>3.2</v>
      </c>
      <c r="H1165" s="68">
        <f t="shared" si="68"/>
        <v>0.25600000000000006</v>
      </c>
      <c r="I1165" s="68"/>
      <c r="J1165" s="114"/>
      <c r="K1165" s="117"/>
      <c r="M1165" s="134"/>
      <c r="N1165" s="134"/>
      <c r="O1165" s="133"/>
    </row>
    <row r="1166" spans="1:15" ht="12.75" customHeight="1">
      <c r="A1166" s="108"/>
      <c r="B1166" s="112" t="s">
        <v>199</v>
      </c>
      <c r="C1166" s="104"/>
      <c r="D1166" s="73">
        <v>1</v>
      </c>
      <c r="E1166" s="72">
        <v>0.2</v>
      </c>
      <c r="F1166" s="72">
        <v>0.4</v>
      </c>
      <c r="G1166" s="72">
        <v>2.75</v>
      </c>
      <c r="H1166" s="72">
        <f t="shared" si="68"/>
        <v>0.22000000000000003</v>
      </c>
      <c r="I1166" s="72"/>
      <c r="J1166" s="124"/>
      <c r="K1166" s="107"/>
      <c r="M1166" s="134"/>
      <c r="N1166" s="134"/>
      <c r="O1166" s="133"/>
    </row>
    <row r="1167" spans="1:15" ht="12.75" customHeight="1">
      <c r="A1167" s="118"/>
      <c r="B1167" s="94" t="s">
        <v>200</v>
      </c>
      <c r="C1167" s="93"/>
      <c r="D1167" s="69">
        <v>1</v>
      </c>
      <c r="E1167" s="68">
        <v>0.2</v>
      </c>
      <c r="F1167" s="68">
        <v>0.4</v>
      </c>
      <c r="G1167" s="68">
        <v>3.1</v>
      </c>
      <c r="H1167" s="68">
        <f t="shared" si="68"/>
        <v>0.24800000000000005</v>
      </c>
      <c r="I1167" s="68"/>
      <c r="J1167" s="114"/>
      <c r="K1167" s="117"/>
      <c r="M1167" s="134"/>
      <c r="N1167" s="134"/>
      <c r="O1167" s="133"/>
    </row>
    <row r="1168" spans="1:15" ht="12.75" customHeight="1">
      <c r="A1168" s="115"/>
      <c r="B1168" s="111" t="s">
        <v>201</v>
      </c>
      <c r="C1168" s="140"/>
      <c r="D1168" s="71">
        <v>1</v>
      </c>
      <c r="E1168" s="70">
        <v>0.2</v>
      </c>
      <c r="F1168" s="70">
        <v>0.4</v>
      </c>
      <c r="G1168" s="70">
        <v>2.75</v>
      </c>
      <c r="H1168" s="70">
        <f t="shared" si="68"/>
        <v>0.22000000000000003</v>
      </c>
      <c r="I1168" s="70"/>
      <c r="J1168" s="141"/>
      <c r="K1168" s="113"/>
      <c r="M1168" s="134"/>
      <c r="N1168" s="134"/>
      <c r="O1168" s="133"/>
    </row>
    <row r="1169" spans="1:15" ht="12.75" customHeight="1">
      <c r="A1169" s="103"/>
      <c r="B1169" s="123" t="s">
        <v>426</v>
      </c>
      <c r="C1169" s="122"/>
      <c r="D1169" s="62">
        <v>1</v>
      </c>
      <c r="E1169" s="61">
        <v>0.2</v>
      </c>
      <c r="F1169" s="61">
        <v>0.4</v>
      </c>
      <c r="G1169" s="61">
        <v>2.8</v>
      </c>
      <c r="H1169" s="61">
        <f t="shared" si="68"/>
        <v>0.22400000000000003</v>
      </c>
      <c r="I1169" s="61"/>
      <c r="J1169" s="121"/>
      <c r="K1169" s="120"/>
      <c r="M1169" s="134"/>
      <c r="N1169" s="134"/>
      <c r="O1169" s="133"/>
    </row>
    <row r="1170" spans="1:15" ht="12.75" customHeight="1">
      <c r="A1170" s="108"/>
      <c r="B1170" s="112" t="s">
        <v>203</v>
      </c>
      <c r="C1170" s="104"/>
      <c r="D1170" s="73">
        <v>1</v>
      </c>
      <c r="E1170" s="72">
        <v>0.2</v>
      </c>
      <c r="F1170" s="72">
        <v>0.4</v>
      </c>
      <c r="G1170" s="72">
        <v>1.81</v>
      </c>
      <c r="H1170" s="72">
        <f t="shared" si="68"/>
        <v>0.14480000000000004</v>
      </c>
      <c r="I1170" s="72"/>
      <c r="J1170" s="124"/>
      <c r="K1170" s="107"/>
      <c r="M1170" s="134"/>
      <c r="N1170" s="134"/>
      <c r="O1170" s="133"/>
    </row>
    <row r="1171" spans="1:15" ht="12.75" customHeight="1">
      <c r="A1171" s="108"/>
      <c r="B1171" s="112" t="s">
        <v>205</v>
      </c>
      <c r="C1171" s="104"/>
      <c r="D1171" s="73">
        <v>1</v>
      </c>
      <c r="E1171" s="72">
        <v>0.2</v>
      </c>
      <c r="F1171" s="72">
        <v>0.4</v>
      </c>
      <c r="G1171" s="72">
        <v>1.75</v>
      </c>
      <c r="H1171" s="72">
        <f t="shared" si="68"/>
        <v>0.14000000000000001</v>
      </c>
      <c r="I1171" s="72"/>
      <c r="J1171" s="124"/>
      <c r="K1171" s="107"/>
      <c r="M1171" s="134"/>
      <c r="N1171" s="134"/>
      <c r="O1171" s="133"/>
    </row>
    <row r="1172" spans="1:15" ht="12.75" customHeight="1">
      <c r="A1172" s="118"/>
      <c r="B1172" s="94" t="s">
        <v>206</v>
      </c>
      <c r="C1172" s="93"/>
      <c r="D1172" s="69">
        <v>1</v>
      </c>
      <c r="E1172" s="68">
        <v>0.2</v>
      </c>
      <c r="F1172" s="68">
        <v>0.4</v>
      </c>
      <c r="G1172" s="68">
        <v>1.8</v>
      </c>
      <c r="H1172" s="68">
        <f t="shared" si="68"/>
        <v>0.14400000000000004</v>
      </c>
      <c r="I1172" s="68"/>
      <c r="J1172" s="114"/>
      <c r="K1172" s="117"/>
      <c r="M1172" s="134"/>
      <c r="N1172" s="134"/>
      <c r="O1172" s="133"/>
    </row>
    <row r="1173" spans="1:15" ht="12.75" customHeight="1">
      <c r="A1173" s="115"/>
      <c r="B1173" s="111" t="s">
        <v>207</v>
      </c>
      <c r="C1173" s="140"/>
      <c r="D1173" s="71">
        <v>1</v>
      </c>
      <c r="E1173" s="70">
        <v>0.2</v>
      </c>
      <c r="F1173" s="70">
        <v>0.4</v>
      </c>
      <c r="G1173" s="70">
        <v>1.75</v>
      </c>
      <c r="H1173" s="70">
        <f t="shared" si="68"/>
        <v>0.14000000000000001</v>
      </c>
      <c r="I1173" s="70"/>
      <c r="J1173" s="141"/>
      <c r="K1173" s="113"/>
      <c r="M1173" s="134"/>
      <c r="N1173" s="134"/>
      <c r="O1173" s="133"/>
    </row>
    <row r="1174" spans="1:15" ht="12.75" customHeight="1">
      <c r="A1174" s="108"/>
      <c r="B1174" s="112" t="s">
        <v>208</v>
      </c>
      <c r="C1174" s="104"/>
      <c r="D1174" s="73">
        <v>1</v>
      </c>
      <c r="E1174" s="72">
        <v>0.2</v>
      </c>
      <c r="F1174" s="72">
        <v>0.4</v>
      </c>
      <c r="G1174" s="72">
        <v>0.65</v>
      </c>
      <c r="H1174" s="72">
        <f>PRODUCT(D1174:G1174)</f>
        <v>5.2000000000000011E-2</v>
      </c>
      <c r="I1174" s="72"/>
      <c r="J1174" s="124"/>
      <c r="K1174" s="107"/>
      <c r="M1174" s="134"/>
      <c r="N1174" s="134"/>
      <c r="O1174" s="133"/>
    </row>
    <row r="1175" spans="1:15" ht="12.75" customHeight="1" thickBot="1">
      <c r="A1175" s="143"/>
      <c r="B1175" s="147" t="s">
        <v>209</v>
      </c>
      <c r="C1175" s="144"/>
      <c r="D1175" s="95">
        <v>1</v>
      </c>
      <c r="E1175" s="92">
        <v>0.2</v>
      </c>
      <c r="F1175" s="92">
        <v>0.4</v>
      </c>
      <c r="G1175" s="92">
        <v>2.6</v>
      </c>
      <c r="H1175" s="92">
        <f>PRODUCT(D1175:G1175)</f>
        <v>0.20800000000000005</v>
      </c>
      <c r="I1175" s="92"/>
      <c r="J1175" s="145"/>
      <c r="K1175" s="146"/>
      <c r="M1175" s="134"/>
      <c r="N1175" s="134"/>
      <c r="O1175" s="133"/>
    </row>
    <row r="1176" spans="1:15" ht="10.5" customHeight="1" thickTop="1">
      <c r="A1176" s="91"/>
      <c r="B1176" s="90"/>
      <c r="C1176" s="90"/>
      <c r="D1176" s="90"/>
      <c r="E1176" s="90"/>
      <c r="F1176" s="90"/>
      <c r="G1176" s="90"/>
      <c r="H1176" s="90"/>
      <c r="I1176" s="90"/>
      <c r="J1176" s="90"/>
      <c r="K1176" s="89"/>
      <c r="M1176" s="134"/>
      <c r="N1176" s="134"/>
      <c r="O1176" s="133"/>
    </row>
    <row r="1177" spans="1:15" ht="17.25" customHeight="1">
      <c r="A1177" s="569" t="s">
        <v>29</v>
      </c>
      <c r="B1177" s="570"/>
      <c r="C1177" s="570"/>
      <c r="D1177" s="570"/>
      <c r="E1177" s="570"/>
      <c r="F1177" s="570"/>
      <c r="G1177" s="570"/>
      <c r="H1177" s="570"/>
      <c r="I1177" s="570"/>
      <c r="J1177" s="570"/>
      <c r="K1177" s="571"/>
      <c r="M1177" s="134"/>
      <c r="N1177" s="134"/>
      <c r="O1177" s="133"/>
    </row>
    <row r="1178" spans="1:15" ht="16.5" customHeight="1">
      <c r="A1178" s="572" t="s">
        <v>69</v>
      </c>
      <c r="B1178" s="573"/>
      <c r="C1178" s="573"/>
      <c r="D1178" s="573"/>
      <c r="E1178" s="573"/>
      <c r="F1178" s="573"/>
      <c r="G1178" s="573"/>
      <c r="H1178" s="573"/>
      <c r="I1178" s="573"/>
      <c r="J1178" s="573"/>
      <c r="K1178" s="574"/>
      <c r="M1178" s="134"/>
      <c r="N1178" s="134"/>
      <c r="O1178" s="133"/>
    </row>
    <row r="1179" spans="1:15" ht="12.75" customHeight="1">
      <c r="A1179" s="88"/>
      <c r="B1179" s="85"/>
      <c r="C1179" s="85"/>
      <c r="D1179" s="85"/>
      <c r="E1179" s="85"/>
      <c r="F1179" s="85"/>
      <c r="G1179" s="85"/>
      <c r="H1179" s="85"/>
      <c r="I1179" s="85"/>
      <c r="J1179" s="85"/>
      <c r="K1179" s="87"/>
      <c r="M1179" s="134"/>
      <c r="N1179" s="134"/>
      <c r="O1179" s="133"/>
    </row>
    <row r="1180" spans="1:15" ht="5.25" customHeight="1">
      <c r="A1180" s="55"/>
      <c r="B1180" s="86"/>
      <c r="C1180" s="86"/>
      <c r="D1180" s="86"/>
      <c r="E1180" s="86"/>
      <c r="F1180" s="86"/>
      <c r="G1180" s="86"/>
      <c r="H1180" s="86"/>
      <c r="I1180" s="86"/>
      <c r="J1180" s="86"/>
      <c r="K1180" s="81"/>
      <c r="M1180" s="134"/>
      <c r="N1180" s="134"/>
      <c r="O1180" s="133"/>
    </row>
    <row r="1181" spans="1:15" ht="16.5" customHeight="1">
      <c r="A1181" s="575" t="s">
        <v>68</v>
      </c>
      <c r="B1181" s="576"/>
      <c r="C1181" s="576"/>
      <c r="D1181" s="576"/>
      <c r="E1181" s="576"/>
      <c r="F1181" s="576"/>
      <c r="G1181" s="576"/>
      <c r="H1181" s="576"/>
      <c r="I1181" s="576"/>
      <c r="J1181" s="576"/>
      <c r="K1181" s="577"/>
      <c r="M1181" s="134"/>
      <c r="N1181" s="134"/>
      <c r="O1181" s="133"/>
    </row>
    <row r="1182" spans="1:15" ht="7.5" customHeight="1">
      <c r="A1182" s="55"/>
      <c r="B1182" s="86"/>
      <c r="C1182" s="86"/>
      <c r="D1182" s="86"/>
      <c r="E1182" s="86"/>
      <c r="F1182" s="86"/>
      <c r="G1182" s="86"/>
      <c r="H1182" s="86"/>
      <c r="I1182" s="86"/>
      <c r="J1182" s="85"/>
      <c r="K1182" s="81"/>
      <c r="M1182" s="134"/>
      <c r="N1182" s="134"/>
      <c r="O1182" s="133"/>
    </row>
    <row r="1183" spans="1:15" ht="12.75" customHeight="1">
      <c r="A1183" s="84"/>
      <c r="B1183" s="83" t="s">
        <v>11</v>
      </c>
      <c r="C1183" s="578" t="s">
        <v>361</v>
      </c>
      <c r="D1183" s="579"/>
      <c r="E1183" s="579"/>
      <c r="F1183" s="579"/>
      <c r="G1183" s="579"/>
      <c r="H1183" s="579"/>
      <c r="I1183" s="579"/>
      <c r="J1183" s="580"/>
      <c r="K1183" s="81"/>
      <c r="M1183" s="134"/>
      <c r="N1183" s="134"/>
      <c r="O1183" s="133"/>
    </row>
    <row r="1184" spans="1:15" ht="4.5" customHeight="1">
      <c r="A1184" s="80"/>
      <c r="K1184" s="81"/>
      <c r="M1184" s="134"/>
      <c r="N1184" s="134"/>
      <c r="O1184" s="133"/>
    </row>
    <row r="1185" spans="1:15" ht="12.75" customHeight="1">
      <c r="A1185" s="80"/>
      <c r="B1185" s="82" t="s">
        <v>67</v>
      </c>
      <c r="C1185" s="581" t="s">
        <v>66</v>
      </c>
      <c r="D1185" s="582"/>
      <c r="E1185" s="582"/>
      <c r="F1185" s="582"/>
      <c r="G1185" s="582"/>
      <c r="H1185" s="582"/>
      <c r="I1185" s="582"/>
      <c r="J1185" s="583"/>
      <c r="K1185" s="81"/>
      <c r="M1185" s="134"/>
      <c r="N1185" s="134"/>
      <c r="O1185" s="133"/>
    </row>
    <row r="1186" spans="1:15" ht="5.25" customHeight="1">
      <c r="A1186" s="80"/>
      <c r="B1186" s="79"/>
      <c r="D1186" s="78"/>
      <c r="E1186" s="78"/>
      <c r="F1186" s="78"/>
      <c r="G1186" s="78"/>
      <c r="H1186" s="78"/>
      <c r="I1186" s="78"/>
      <c r="K1186" s="77"/>
      <c r="M1186" s="134"/>
      <c r="N1186" s="134"/>
      <c r="O1186" s="133"/>
    </row>
    <row r="1187" spans="1:15" ht="12.75" customHeight="1">
      <c r="A1187" s="584" t="s">
        <v>84</v>
      </c>
      <c r="B1187" s="585" t="s">
        <v>83</v>
      </c>
      <c r="C1187" s="585" t="s">
        <v>82</v>
      </c>
      <c r="D1187" s="585" t="s">
        <v>81</v>
      </c>
      <c r="E1187" s="564" t="s">
        <v>80</v>
      </c>
      <c r="F1187" s="564"/>
      <c r="G1187" s="564"/>
      <c r="H1187" s="564" t="s">
        <v>79</v>
      </c>
      <c r="I1187" s="564"/>
      <c r="J1187" s="564"/>
      <c r="K1187" s="565" t="s">
        <v>58</v>
      </c>
      <c r="M1187" s="134"/>
      <c r="N1187" s="134"/>
      <c r="O1187" s="133"/>
    </row>
    <row r="1188" spans="1:15" ht="12.75" customHeight="1">
      <c r="A1188" s="584"/>
      <c r="B1188" s="585"/>
      <c r="C1188" s="585"/>
      <c r="D1188" s="585"/>
      <c r="E1188" s="125" t="s">
        <v>78</v>
      </c>
      <c r="F1188" s="125" t="s">
        <v>77</v>
      </c>
      <c r="G1188" s="125" t="s">
        <v>76</v>
      </c>
      <c r="H1188" s="125" t="s">
        <v>75</v>
      </c>
      <c r="I1188" s="125" t="s">
        <v>74</v>
      </c>
      <c r="J1188" s="125" t="s">
        <v>73</v>
      </c>
      <c r="K1188" s="565"/>
      <c r="M1188" s="134"/>
      <c r="N1188" s="134"/>
      <c r="O1188" s="133"/>
    </row>
    <row r="1189" spans="1:15" ht="12.75" customHeight="1">
      <c r="A1189" s="584"/>
      <c r="B1189" s="585"/>
      <c r="C1189" s="585"/>
      <c r="D1189" s="585"/>
      <c r="E1189" s="125" t="s">
        <v>70</v>
      </c>
      <c r="F1189" s="125" t="s">
        <v>70</v>
      </c>
      <c r="G1189" s="125" t="s">
        <v>70</v>
      </c>
      <c r="H1189" s="125" t="s">
        <v>72</v>
      </c>
      <c r="I1189" s="125" t="s">
        <v>71</v>
      </c>
      <c r="J1189" s="125" t="s">
        <v>70</v>
      </c>
      <c r="K1189" s="565"/>
      <c r="M1189" s="134"/>
      <c r="N1189" s="134"/>
      <c r="O1189" s="133"/>
    </row>
    <row r="1190" spans="1:15" ht="12.75" customHeight="1">
      <c r="A1190" s="108"/>
      <c r="B1190" s="112" t="s">
        <v>212</v>
      </c>
      <c r="C1190" s="104"/>
      <c r="D1190" s="73">
        <v>1</v>
      </c>
      <c r="E1190" s="72">
        <v>0.2</v>
      </c>
      <c r="F1190" s="72">
        <v>0.4</v>
      </c>
      <c r="G1190" s="72">
        <v>1.65</v>
      </c>
      <c r="H1190" s="72">
        <f t="shared" si="68"/>
        <v>0.13200000000000001</v>
      </c>
      <c r="I1190" s="72"/>
      <c r="J1190" s="124"/>
      <c r="K1190" s="107"/>
      <c r="M1190" s="134"/>
      <c r="N1190" s="134"/>
      <c r="O1190" s="133"/>
    </row>
    <row r="1191" spans="1:15" ht="12.75" customHeight="1">
      <c r="A1191" s="118"/>
      <c r="B1191" s="94" t="s">
        <v>213</v>
      </c>
      <c r="C1191" s="93"/>
      <c r="D1191" s="69">
        <v>1</v>
      </c>
      <c r="E1191" s="68">
        <v>0.2</v>
      </c>
      <c r="F1191" s="68">
        <v>0.4</v>
      </c>
      <c r="G1191" s="68">
        <v>1.65</v>
      </c>
      <c r="H1191" s="68">
        <f t="shared" si="68"/>
        <v>0.13200000000000001</v>
      </c>
      <c r="I1191" s="68"/>
      <c r="J1191" s="114"/>
      <c r="K1191" s="117"/>
      <c r="M1191" s="134"/>
      <c r="N1191" s="134"/>
      <c r="O1191" s="133"/>
    </row>
    <row r="1192" spans="1:15" ht="12.75" customHeight="1">
      <c r="A1192" s="118"/>
      <c r="B1192" s="94" t="s">
        <v>214</v>
      </c>
      <c r="C1192" s="93"/>
      <c r="D1192" s="69">
        <v>1</v>
      </c>
      <c r="E1192" s="68">
        <v>0.2</v>
      </c>
      <c r="F1192" s="68">
        <v>0.4</v>
      </c>
      <c r="G1192" s="68">
        <v>1.61</v>
      </c>
      <c r="H1192" s="68">
        <f t="shared" si="68"/>
        <v>0.12880000000000003</v>
      </c>
      <c r="I1192" s="68"/>
      <c r="J1192" s="114"/>
      <c r="K1192" s="117"/>
      <c r="M1192" s="134"/>
      <c r="N1192" s="134"/>
      <c r="O1192" s="133"/>
    </row>
    <row r="1193" spans="1:15" ht="12.75" customHeight="1">
      <c r="A1193" s="118"/>
      <c r="B1193" s="94" t="s">
        <v>215</v>
      </c>
      <c r="C1193" s="93"/>
      <c r="D1193" s="69">
        <v>1</v>
      </c>
      <c r="E1193" s="68">
        <v>0.2</v>
      </c>
      <c r="F1193" s="68">
        <v>0.4</v>
      </c>
      <c r="G1193" s="68">
        <v>1.64</v>
      </c>
      <c r="H1193" s="68">
        <f t="shared" si="68"/>
        <v>0.13120000000000001</v>
      </c>
      <c r="I1193" s="68"/>
      <c r="J1193" s="114"/>
      <c r="K1193" s="117"/>
      <c r="M1193" s="134"/>
      <c r="N1193" s="134"/>
      <c r="O1193" s="133"/>
    </row>
    <row r="1194" spans="1:15" ht="12.75" customHeight="1">
      <c r="A1194" s="108"/>
      <c r="B1194" s="112" t="s">
        <v>219</v>
      </c>
      <c r="C1194" s="104"/>
      <c r="D1194" s="73">
        <v>1</v>
      </c>
      <c r="E1194" s="72">
        <v>0.2</v>
      </c>
      <c r="F1194" s="72">
        <v>0.4</v>
      </c>
      <c r="G1194" s="72">
        <v>1.91</v>
      </c>
      <c r="H1194" s="72">
        <f t="shared" si="68"/>
        <v>0.15280000000000002</v>
      </c>
      <c r="I1194" s="72"/>
      <c r="J1194" s="124"/>
      <c r="K1194" s="107"/>
      <c r="M1194" s="134"/>
      <c r="N1194" s="134"/>
      <c r="O1194" s="133"/>
    </row>
    <row r="1195" spans="1:15" ht="12.75" customHeight="1">
      <c r="A1195" s="118"/>
      <c r="B1195" s="94" t="s">
        <v>220</v>
      </c>
      <c r="C1195" s="93"/>
      <c r="D1195" s="69">
        <v>1</v>
      </c>
      <c r="E1195" s="68">
        <v>0.2</v>
      </c>
      <c r="F1195" s="68">
        <v>0.4</v>
      </c>
      <c r="G1195" s="68">
        <v>1.71</v>
      </c>
      <c r="H1195" s="68">
        <f t="shared" si="68"/>
        <v>0.13680000000000003</v>
      </c>
      <c r="I1195" s="68"/>
      <c r="J1195" s="114"/>
      <c r="K1195" s="117"/>
      <c r="M1195" s="134"/>
      <c r="N1195" s="134"/>
      <c r="O1195" s="133"/>
    </row>
    <row r="1196" spans="1:15" ht="12.75" customHeight="1">
      <c r="A1196" s="118"/>
      <c r="B1196" s="94" t="s">
        <v>221</v>
      </c>
      <c r="C1196" s="93"/>
      <c r="D1196" s="69">
        <v>1</v>
      </c>
      <c r="E1196" s="68">
        <v>0.2</v>
      </c>
      <c r="F1196" s="68">
        <v>0.4</v>
      </c>
      <c r="G1196" s="68">
        <v>1.89</v>
      </c>
      <c r="H1196" s="68">
        <f t="shared" si="68"/>
        <v>0.15120000000000003</v>
      </c>
      <c r="I1196" s="68"/>
      <c r="J1196" s="114"/>
      <c r="K1196" s="117"/>
      <c r="M1196" s="134"/>
      <c r="N1196" s="134"/>
      <c r="O1196" s="133"/>
    </row>
    <row r="1197" spans="1:15" ht="12.75" customHeight="1">
      <c r="A1197" s="108"/>
      <c r="B1197" s="112" t="s">
        <v>223</v>
      </c>
      <c r="C1197" s="104"/>
      <c r="D1197" s="73">
        <v>1</v>
      </c>
      <c r="E1197" s="72">
        <v>0.2</v>
      </c>
      <c r="F1197" s="72">
        <v>0.4</v>
      </c>
      <c r="G1197" s="72">
        <v>3.06</v>
      </c>
      <c r="H1197" s="72">
        <f t="shared" si="68"/>
        <v>0.24480000000000005</v>
      </c>
      <c r="I1197" s="72"/>
      <c r="J1197" s="124"/>
      <c r="K1197" s="107"/>
      <c r="M1197" s="134"/>
      <c r="N1197" s="134"/>
      <c r="O1197" s="133"/>
    </row>
    <row r="1198" spans="1:15" ht="12.75" customHeight="1">
      <c r="A1198" s="118"/>
      <c r="B1198" s="94" t="s">
        <v>224</v>
      </c>
      <c r="C1198" s="93"/>
      <c r="D1198" s="69">
        <v>1</v>
      </c>
      <c r="E1198" s="68">
        <v>0.2</v>
      </c>
      <c r="F1198" s="68">
        <v>0.4</v>
      </c>
      <c r="G1198" s="68">
        <v>1.96</v>
      </c>
      <c r="H1198" s="68">
        <f t="shared" si="68"/>
        <v>0.15680000000000002</v>
      </c>
      <c r="I1198" s="68"/>
      <c r="J1198" s="114"/>
      <c r="K1198" s="117"/>
      <c r="M1198" s="134"/>
      <c r="N1198" s="134"/>
      <c r="O1198" s="133"/>
    </row>
    <row r="1199" spans="1:15" ht="12.75" customHeight="1">
      <c r="A1199" s="118"/>
      <c r="B1199" s="94" t="s">
        <v>225</v>
      </c>
      <c r="C1199" s="93"/>
      <c r="D1199" s="69">
        <v>1</v>
      </c>
      <c r="E1199" s="68">
        <v>0.2</v>
      </c>
      <c r="F1199" s="68">
        <v>0.4</v>
      </c>
      <c r="G1199" s="68">
        <v>2.14</v>
      </c>
      <c r="H1199" s="68">
        <f t="shared" si="68"/>
        <v>0.17120000000000005</v>
      </c>
      <c r="I1199" s="68"/>
      <c r="J1199" s="114"/>
      <c r="K1199" s="117"/>
      <c r="M1199" s="134"/>
      <c r="N1199" s="134"/>
      <c r="O1199" s="133"/>
    </row>
    <row r="1200" spans="1:15" ht="12.75" customHeight="1">
      <c r="A1200" s="118"/>
      <c r="B1200" s="94" t="s">
        <v>226</v>
      </c>
      <c r="C1200" s="93"/>
      <c r="D1200" s="69">
        <v>1</v>
      </c>
      <c r="E1200" s="68">
        <v>0.2</v>
      </c>
      <c r="F1200" s="68">
        <v>0.4</v>
      </c>
      <c r="G1200" s="68">
        <v>1.85</v>
      </c>
      <c r="H1200" s="68">
        <f t="shared" si="68"/>
        <v>0.14800000000000005</v>
      </c>
      <c r="I1200" s="68"/>
      <c r="J1200" s="114"/>
      <c r="K1200" s="117"/>
      <c r="M1200" s="134"/>
      <c r="N1200" s="134"/>
      <c r="O1200" s="133"/>
    </row>
    <row r="1201" spans="1:15" ht="12.75" customHeight="1">
      <c r="A1201" s="118"/>
      <c r="B1201" s="94" t="s">
        <v>227</v>
      </c>
      <c r="C1201" s="93"/>
      <c r="D1201" s="69">
        <v>1</v>
      </c>
      <c r="E1201" s="68">
        <v>0.2</v>
      </c>
      <c r="F1201" s="68">
        <v>0.4</v>
      </c>
      <c r="G1201" s="68">
        <v>1.1000000000000001</v>
      </c>
      <c r="H1201" s="68">
        <f t="shared" si="68"/>
        <v>8.8000000000000023E-2</v>
      </c>
      <c r="I1201" s="68"/>
      <c r="J1201" s="114"/>
      <c r="K1201" s="117"/>
      <c r="M1201" s="134"/>
      <c r="N1201" s="134"/>
      <c r="O1201" s="133"/>
    </row>
    <row r="1202" spans="1:15" ht="12.75" customHeight="1">
      <c r="A1202" s="118"/>
      <c r="B1202" s="94" t="s">
        <v>228</v>
      </c>
      <c r="C1202" s="93"/>
      <c r="D1202" s="69">
        <v>1</v>
      </c>
      <c r="E1202" s="68">
        <v>0.2</v>
      </c>
      <c r="F1202" s="68">
        <v>0.4</v>
      </c>
      <c r="G1202" s="68">
        <v>2.5099999999999998</v>
      </c>
      <c r="H1202" s="68">
        <f t="shared" si="68"/>
        <v>0.20080000000000003</v>
      </c>
      <c r="I1202" s="68"/>
      <c r="J1202" s="114"/>
      <c r="K1202" s="117"/>
      <c r="M1202" s="134"/>
      <c r="N1202" s="134"/>
      <c r="O1202" s="133"/>
    </row>
    <row r="1203" spans="1:15" ht="12.75" customHeight="1">
      <c r="A1203" s="118"/>
      <c r="B1203" s="94" t="s">
        <v>229</v>
      </c>
      <c r="C1203" s="93"/>
      <c r="D1203" s="69">
        <v>1</v>
      </c>
      <c r="E1203" s="68">
        <v>0.2</v>
      </c>
      <c r="F1203" s="68">
        <v>0.4</v>
      </c>
      <c r="G1203" s="68">
        <v>2.23</v>
      </c>
      <c r="H1203" s="68">
        <f t="shared" si="68"/>
        <v>0.17840000000000003</v>
      </c>
      <c r="I1203" s="68"/>
      <c r="J1203" s="114"/>
      <c r="K1203" s="117"/>
      <c r="M1203" s="134"/>
      <c r="N1203" s="134"/>
      <c r="O1203" s="133"/>
    </row>
    <row r="1204" spans="1:15" ht="12.75" customHeight="1">
      <c r="A1204" s="118"/>
      <c r="B1204" s="94" t="s">
        <v>230</v>
      </c>
      <c r="C1204" s="93"/>
      <c r="D1204" s="69">
        <v>1</v>
      </c>
      <c r="E1204" s="68">
        <v>0.2</v>
      </c>
      <c r="F1204" s="68">
        <v>0.4</v>
      </c>
      <c r="G1204" s="68">
        <v>2.09</v>
      </c>
      <c r="H1204" s="68">
        <f t="shared" si="68"/>
        <v>0.16720000000000002</v>
      </c>
      <c r="I1204" s="68"/>
      <c r="J1204" s="114"/>
      <c r="K1204" s="117"/>
      <c r="M1204" s="134"/>
      <c r="N1204" s="134"/>
      <c r="O1204" s="133"/>
    </row>
    <row r="1205" spans="1:15" ht="12.75" customHeight="1">
      <c r="A1205" s="118"/>
      <c r="B1205" s="94" t="s">
        <v>232</v>
      </c>
      <c r="C1205" s="93"/>
      <c r="D1205" s="69">
        <v>1</v>
      </c>
      <c r="E1205" s="68">
        <v>0.2</v>
      </c>
      <c r="F1205" s="68">
        <v>0.4</v>
      </c>
      <c r="G1205" s="68">
        <v>2.33</v>
      </c>
      <c r="H1205" s="68">
        <f t="shared" si="68"/>
        <v>0.18640000000000004</v>
      </c>
      <c r="I1205" s="68"/>
      <c r="J1205" s="114"/>
      <c r="K1205" s="117"/>
      <c r="M1205" s="134"/>
      <c r="N1205" s="134"/>
      <c r="O1205" s="133"/>
    </row>
    <row r="1206" spans="1:15" ht="12.75" customHeight="1">
      <c r="A1206" s="66">
        <v>35</v>
      </c>
      <c r="B1206" s="65" t="s">
        <v>106</v>
      </c>
      <c r="C1206" s="64" t="s">
        <v>48</v>
      </c>
      <c r="D1206" s="76"/>
      <c r="E1206" s="75"/>
      <c r="F1206" s="75"/>
      <c r="G1206" s="75"/>
      <c r="H1206" s="75"/>
      <c r="I1206" s="75"/>
      <c r="J1206" s="74"/>
      <c r="K1206" s="63">
        <f>SUM(H1208:H1233)+SUM(H1250:H1261)</f>
        <v>157.95174999999995</v>
      </c>
      <c r="M1206" s="134"/>
      <c r="N1206" s="134"/>
      <c r="O1206" s="133"/>
    </row>
    <row r="1207" spans="1:15" ht="12.75" customHeight="1">
      <c r="A1207" s="108"/>
      <c r="B1207" s="105" t="s">
        <v>141</v>
      </c>
      <c r="C1207" s="104"/>
      <c r="D1207" s="73"/>
      <c r="E1207" s="72"/>
      <c r="F1207" s="72"/>
      <c r="G1207" s="72"/>
      <c r="H1207" s="72"/>
      <c r="I1207" s="72"/>
      <c r="J1207" s="124"/>
      <c r="K1207" s="107"/>
      <c r="M1207" s="134"/>
      <c r="N1207" s="134"/>
      <c r="O1207" s="133"/>
    </row>
    <row r="1208" spans="1:15" ht="12.75" customHeight="1">
      <c r="A1208" s="118"/>
      <c r="B1208" s="94" t="s">
        <v>88</v>
      </c>
      <c r="C1208" s="93"/>
      <c r="D1208" s="69">
        <v>1</v>
      </c>
      <c r="E1208" s="68">
        <f>1.5+0.3</f>
        <v>1.8</v>
      </c>
      <c r="F1208" s="68">
        <f>1.5+0.3</f>
        <v>1.8</v>
      </c>
      <c r="G1208" s="68">
        <f>2.1+0.3</f>
        <v>2.4</v>
      </c>
      <c r="H1208" s="68">
        <f>PRODUCT(D1208:G1208)</f>
        <v>7.7759999999999998</v>
      </c>
      <c r="I1208" s="68"/>
      <c r="J1208" s="114"/>
      <c r="K1208" s="117"/>
      <c r="M1208" s="134"/>
      <c r="N1208" s="134"/>
      <c r="O1208" s="133"/>
    </row>
    <row r="1209" spans="1:15" ht="12.75" customHeight="1">
      <c r="A1209" s="118"/>
      <c r="B1209" s="94" t="s">
        <v>89</v>
      </c>
      <c r="C1209" s="93"/>
      <c r="D1209" s="69">
        <v>-1</v>
      </c>
      <c r="E1209" s="68">
        <v>1.1000000000000001</v>
      </c>
      <c r="F1209" s="68">
        <v>1.1000000000000001</v>
      </c>
      <c r="G1209" s="68">
        <f>2.1+0.3</f>
        <v>2.4</v>
      </c>
      <c r="H1209" s="68">
        <f>PRODUCT(D1209:G1209)</f>
        <v>-2.9040000000000004</v>
      </c>
      <c r="I1209" s="68"/>
      <c r="J1209" s="114"/>
      <c r="K1209" s="117"/>
      <c r="M1209" s="134"/>
      <c r="N1209" s="134"/>
      <c r="O1209" s="133"/>
    </row>
    <row r="1210" spans="1:15" ht="12.75" customHeight="1">
      <c r="A1210" s="118"/>
      <c r="B1210" s="119" t="s">
        <v>142</v>
      </c>
      <c r="C1210" s="93"/>
      <c r="D1210" s="69"/>
      <c r="E1210" s="68"/>
      <c r="F1210" s="68"/>
      <c r="G1210" s="68"/>
      <c r="H1210" s="68"/>
      <c r="I1210" s="68"/>
      <c r="J1210" s="114"/>
      <c r="K1210" s="117"/>
      <c r="M1210" s="134"/>
      <c r="N1210" s="134"/>
      <c r="O1210" s="133"/>
    </row>
    <row r="1211" spans="1:15" ht="12.75" customHeight="1">
      <c r="A1211" s="118"/>
      <c r="B1211" s="94" t="s">
        <v>88</v>
      </c>
      <c r="C1211" s="93"/>
      <c r="D1211" s="69">
        <v>1</v>
      </c>
      <c r="E1211" s="68">
        <f>2+0.3</f>
        <v>2.2999999999999998</v>
      </c>
      <c r="F1211" s="68">
        <f>2+0.3</f>
        <v>2.2999999999999998</v>
      </c>
      <c r="G1211" s="68">
        <f>2.6+0.3</f>
        <v>2.9</v>
      </c>
      <c r="H1211" s="68">
        <f t="shared" ref="H1211:H1212" si="69">PRODUCT(D1211:G1211)</f>
        <v>15.340999999999998</v>
      </c>
      <c r="I1211" s="68"/>
      <c r="J1211" s="114"/>
      <c r="K1211" s="117"/>
      <c r="M1211" s="134"/>
      <c r="N1211" s="134"/>
      <c r="O1211" s="133"/>
    </row>
    <row r="1212" spans="1:15" ht="12.75" customHeight="1">
      <c r="A1212" s="118"/>
      <c r="B1212" s="94" t="s">
        <v>89</v>
      </c>
      <c r="C1212" s="93"/>
      <c r="D1212" s="69">
        <v>-1</v>
      </c>
      <c r="E1212" s="68">
        <v>1.1000000000000001</v>
      </c>
      <c r="F1212" s="68">
        <v>1.1000000000000001</v>
      </c>
      <c r="G1212" s="68">
        <f>2.6+0.3</f>
        <v>2.9</v>
      </c>
      <c r="H1212" s="68">
        <f t="shared" si="69"/>
        <v>-3.5090000000000003</v>
      </c>
      <c r="I1212" s="68"/>
      <c r="J1212" s="114"/>
      <c r="K1212" s="117"/>
      <c r="M1212" s="134"/>
      <c r="N1212" s="134"/>
      <c r="O1212" s="133"/>
    </row>
    <row r="1213" spans="1:15" ht="12.75" customHeight="1">
      <c r="A1213" s="118"/>
      <c r="B1213" s="119" t="s">
        <v>143</v>
      </c>
      <c r="C1213" s="93"/>
      <c r="D1213" s="69"/>
      <c r="E1213" s="68"/>
      <c r="F1213" s="68"/>
      <c r="G1213" s="68"/>
      <c r="H1213" s="68"/>
      <c r="I1213" s="68"/>
      <c r="J1213" s="114"/>
      <c r="K1213" s="117"/>
      <c r="M1213" s="134"/>
      <c r="N1213" s="134"/>
      <c r="O1213" s="133"/>
    </row>
    <row r="1214" spans="1:15" ht="12.75" customHeight="1">
      <c r="A1214" s="118"/>
      <c r="B1214" s="94" t="s">
        <v>88</v>
      </c>
      <c r="C1214" s="93"/>
      <c r="D1214" s="69">
        <v>1</v>
      </c>
      <c r="E1214" s="68">
        <f>2.2+0.3</f>
        <v>2.5</v>
      </c>
      <c r="F1214" s="68">
        <f>2.2+0.3</f>
        <v>2.5</v>
      </c>
      <c r="G1214" s="68">
        <f>1.8+0.5</f>
        <v>2.2999999999999998</v>
      </c>
      <c r="H1214" s="68">
        <f t="shared" ref="H1214:H1215" si="70">PRODUCT(D1214:G1214)</f>
        <v>14.374999999999998</v>
      </c>
      <c r="I1214" s="68"/>
      <c r="J1214" s="114"/>
      <c r="K1214" s="117"/>
      <c r="M1214" s="134"/>
      <c r="N1214" s="134"/>
      <c r="O1214" s="133"/>
    </row>
    <row r="1215" spans="1:15" ht="12.75" customHeight="1">
      <c r="A1215" s="118"/>
      <c r="B1215" s="94" t="s">
        <v>89</v>
      </c>
      <c r="C1215" s="93"/>
      <c r="D1215" s="69">
        <v>-1</v>
      </c>
      <c r="E1215" s="68">
        <v>1.9</v>
      </c>
      <c r="F1215" s="68">
        <v>1.9</v>
      </c>
      <c r="G1215" s="68">
        <f>1.8+0.5</f>
        <v>2.2999999999999998</v>
      </c>
      <c r="H1215" s="68">
        <f t="shared" si="70"/>
        <v>-8.302999999999999</v>
      </c>
      <c r="I1215" s="68"/>
      <c r="J1215" s="114"/>
      <c r="K1215" s="117"/>
      <c r="M1215" s="134"/>
      <c r="N1215" s="134"/>
      <c r="O1215" s="133"/>
    </row>
    <row r="1216" spans="1:15" ht="12.75" customHeight="1">
      <c r="A1216" s="118"/>
      <c r="B1216" s="119" t="s">
        <v>144</v>
      </c>
      <c r="C1216" s="93"/>
      <c r="D1216" s="69"/>
      <c r="E1216" s="68"/>
      <c r="F1216" s="68"/>
      <c r="G1216" s="68"/>
      <c r="H1216" s="68"/>
      <c r="I1216" s="68"/>
      <c r="J1216" s="114"/>
      <c r="K1216" s="117"/>
      <c r="M1216" s="134"/>
      <c r="N1216" s="134"/>
      <c r="O1216" s="133"/>
    </row>
    <row r="1217" spans="1:15" ht="12.75" customHeight="1">
      <c r="A1217" s="118"/>
      <c r="B1217" s="94" t="s">
        <v>88</v>
      </c>
      <c r="C1217" s="93"/>
      <c r="D1217" s="69">
        <v>1</v>
      </c>
      <c r="E1217" s="68">
        <f>2.6+0.3</f>
        <v>2.9</v>
      </c>
      <c r="F1217" s="68">
        <f>2.6+0.3</f>
        <v>2.9</v>
      </c>
      <c r="G1217" s="68">
        <f>2.1+0.4</f>
        <v>2.5</v>
      </c>
      <c r="H1217" s="68">
        <f t="shared" ref="H1217:H1218" si="71">PRODUCT(D1217:G1217)</f>
        <v>21.024999999999999</v>
      </c>
      <c r="I1217" s="68"/>
      <c r="J1217" s="114"/>
      <c r="K1217" s="117"/>
      <c r="M1217" s="134"/>
      <c r="N1217" s="134"/>
      <c r="O1217" s="133"/>
    </row>
    <row r="1218" spans="1:15" ht="12.75" customHeight="1">
      <c r="A1218" s="118"/>
      <c r="B1218" s="94" t="s">
        <v>89</v>
      </c>
      <c r="C1218" s="93"/>
      <c r="D1218" s="69">
        <v>-1</v>
      </c>
      <c r="E1218" s="68">
        <v>1.5</v>
      </c>
      <c r="F1218" s="68">
        <v>1.5</v>
      </c>
      <c r="G1218" s="68">
        <f>2.1+0.4</f>
        <v>2.5</v>
      </c>
      <c r="H1218" s="68">
        <f t="shared" si="71"/>
        <v>-5.625</v>
      </c>
      <c r="I1218" s="68"/>
      <c r="J1218" s="114"/>
      <c r="K1218" s="117"/>
      <c r="M1218" s="134"/>
      <c r="N1218" s="134"/>
      <c r="O1218" s="133"/>
    </row>
    <row r="1219" spans="1:15" ht="12.75" customHeight="1">
      <c r="A1219" s="118"/>
      <c r="B1219" s="119" t="s">
        <v>145</v>
      </c>
      <c r="C1219" s="93"/>
      <c r="D1219" s="69"/>
      <c r="E1219" s="68"/>
      <c r="F1219" s="68"/>
      <c r="G1219" s="68"/>
      <c r="H1219" s="68"/>
      <c r="I1219" s="68"/>
      <c r="J1219" s="114"/>
      <c r="K1219" s="117"/>
      <c r="M1219" s="134"/>
      <c r="N1219" s="134"/>
      <c r="O1219" s="133"/>
    </row>
    <row r="1220" spans="1:15" ht="12.75" customHeight="1">
      <c r="A1220" s="118"/>
      <c r="B1220" s="94" t="s">
        <v>88</v>
      </c>
      <c r="C1220" s="93"/>
      <c r="D1220" s="69">
        <v>1</v>
      </c>
      <c r="E1220" s="68">
        <f>2.2+0.3</f>
        <v>2.5</v>
      </c>
      <c r="F1220" s="68">
        <f>2.2+0.3</f>
        <v>2.5</v>
      </c>
      <c r="G1220" s="68">
        <f>1.8+0.45</f>
        <v>2.25</v>
      </c>
      <c r="H1220" s="68">
        <f t="shared" ref="H1220:H1221" si="72">PRODUCT(D1220:G1220)</f>
        <v>14.0625</v>
      </c>
      <c r="I1220" s="68"/>
      <c r="J1220" s="114"/>
      <c r="K1220" s="117"/>
      <c r="M1220" s="134"/>
      <c r="N1220" s="134"/>
      <c r="O1220" s="133"/>
    </row>
    <row r="1221" spans="1:15" ht="12.75" customHeight="1">
      <c r="A1221" s="118"/>
      <c r="B1221" s="94" t="s">
        <v>89</v>
      </c>
      <c r="C1221" s="93"/>
      <c r="D1221" s="69">
        <v>-1</v>
      </c>
      <c r="E1221" s="68">
        <v>1.7</v>
      </c>
      <c r="F1221" s="68">
        <v>1.7</v>
      </c>
      <c r="G1221" s="68">
        <f>1.8+0.45</f>
        <v>2.25</v>
      </c>
      <c r="H1221" s="68">
        <f t="shared" si="72"/>
        <v>-6.5024999999999995</v>
      </c>
      <c r="I1221" s="68"/>
      <c r="J1221" s="114"/>
      <c r="K1221" s="117"/>
      <c r="M1221" s="134"/>
      <c r="N1221" s="134"/>
      <c r="O1221" s="133"/>
    </row>
    <row r="1222" spans="1:15" ht="12.75" customHeight="1">
      <c r="A1222" s="118"/>
      <c r="B1222" s="119" t="s">
        <v>146</v>
      </c>
      <c r="C1222" s="93"/>
      <c r="D1222" s="69"/>
      <c r="E1222" s="68"/>
      <c r="F1222" s="68"/>
      <c r="G1222" s="68"/>
      <c r="H1222" s="68"/>
      <c r="I1222" s="68"/>
      <c r="J1222" s="114"/>
      <c r="K1222" s="117"/>
      <c r="M1222" s="134"/>
      <c r="N1222" s="134"/>
      <c r="O1222" s="133"/>
    </row>
    <row r="1223" spans="1:15" ht="12.75" customHeight="1">
      <c r="A1223" s="118"/>
      <c r="B1223" s="94" t="s">
        <v>88</v>
      </c>
      <c r="C1223" s="93"/>
      <c r="D1223" s="69">
        <v>1</v>
      </c>
      <c r="E1223" s="68">
        <f>3.55+0.3</f>
        <v>3.8499999999999996</v>
      </c>
      <c r="F1223" s="68">
        <f>3.55+0.3</f>
        <v>3.8499999999999996</v>
      </c>
      <c r="G1223" s="68">
        <f>1.9+0.7</f>
        <v>2.5999999999999996</v>
      </c>
      <c r="H1223" s="68">
        <f t="shared" ref="H1223:H1224" si="73">PRODUCT(D1223:G1223)</f>
        <v>38.538499999999992</v>
      </c>
      <c r="I1223" s="68"/>
      <c r="J1223" s="114"/>
      <c r="K1223" s="117"/>
      <c r="M1223" s="134"/>
      <c r="N1223" s="134"/>
      <c r="O1223" s="133"/>
    </row>
    <row r="1224" spans="1:15" ht="12.75" customHeight="1">
      <c r="A1224" s="118"/>
      <c r="B1224" s="94" t="s">
        <v>89</v>
      </c>
      <c r="C1224" s="93"/>
      <c r="D1224" s="69">
        <v>-1</v>
      </c>
      <c r="E1224" s="68">
        <v>2.75</v>
      </c>
      <c r="F1224" s="68">
        <v>2.75</v>
      </c>
      <c r="G1224" s="68">
        <f>1.9+0.7</f>
        <v>2.5999999999999996</v>
      </c>
      <c r="H1224" s="68">
        <f t="shared" si="73"/>
        <v>-19.662499999999998</v>
      </c>
      <c r="I1224" s="68"/>
      <c r="J1224" s="114"/>
      <c r="K1224" s="117"/>
      <c r="M1224" s="134"/>
      <c r="N1224" s="134"/>
      <c r="O1224" s="133"/>
    </row>
    <row r="1225" spans="1:15" ht="12.75" customHeight="1">
      <c r="A1225" s="118"/>
      <c r="B1225" s="119" t="s">
        <v>147</v>
      </c>
      <c r="C1225" s="93"/>
      <c r="D1225" s="69"/>
      <c r="E1225" s="68"/>
      <c r="F1225" s="68"/>
      <c r="G1225" s="68"/>
      <c r="H1225" s="68"/>
      <c r="I1225" s="68"/>
      <c r="J1225" s="114"/>
      <c r="K1225" s="117"/>
      <c r="M1225" s="134"/>
      <c r="N1225" s="134"/>
      <c r="O1225" s="133"/>
    </row>
    <row r="1226" spans="1:15" ht="12.75" customHeight="1">
      <c r="A1226" s="118"/>
      <c r="B1226" s="94" t="s">
        <v>88</v>
      </c>
      <c r="C1226" s="93"/>
      <c r="D1226" s="69">
        <v>1</v>
      </c>
      <c r="E1226" s="68">
        <f>2.3+0.3</f>
        <v>2.5999999999999996</v>
      </c>
      <c r="F1226" s="68">
        <f>2.3+0.3</f>
        <v>2.5999999999999996</v>
      </c>
      <c r="G1226" s="68">
        <f>2.3+0.45</f>
        <v>2.75</v>
      </c>
      <c r="H1226" s="68">
        <f t="shared" ref="H1226:H1227" si="74">PRODUCT(D1226:G1226)</f>
        <v>18.589999999999996</v>
      </c>
      <c r="I1226" s="68"/>
      <c r="J1226" s="114"/>
      <c r="K1226" s="117"/>
      <c r="M1226" s="134"/>
      <c r="N1226" s="134"/>
      <c r="O1226" s="133"/>
    </row>
    <row r="1227" spans="1:15" ht="12.75" customHeight="1">
      <c r="A1227" s="118"/>
      <c r="B1227" s="94" t="s">
        <v>89</v>
      </c>
      <c r="C1227" s="93"/>
      <c r="D1227" s="69">
        <v>-1</v>
      </c>
      <c r="E1227" s="68">
        <v>1.7</v>
      </c>
      <c r="F1227" s="68">
        <v>1.7</v>
      </c>
      <c r="G1227" s="68">
        <f>2.3+0.45</f>
        <v>2.75</v>
      </c>
      <c r="H1227" s="68">
        <f t="shared" si="74"/>
        <v>-7.9474999999999989</v>
      </c>
      <c r="I1227" s="68"/>
      <c r="J1227" s="114"/>
      <c r="K1227" s="117"/>
      <c r="M1227" s="134"/>
      <c r="N1227" s="134"/>
      <c r="O1227" s="133"/>
    </row>
    <row r="1228" spans="1:15" ht="12.75" customHeight="1">
      <c r="A1228" s="118"/>
      <c r="B1228" s="119" t="s">
        <v>148</v>
      </c>
      <c r="C1228" s="93"/>
      <c r="D1228" s="69"/>
      <c r="E1228" s="68"/>
      <c r="F1228" s="68"/>
      <c r="G1228" s="68"/>
      <c r="H1228" s="68"/>
      <c r="I1228" s="68"/>
      <c r="J1228" s="114"/>
      <c r="K1228" s="117"/>
      <c r="M1228" s="134"/>
      <c r="N1228" s="134"/>
      <c r="O1228" s="133"/>
    </row>
    <row r="1229" spans="1:15" ht="12.75" customHeight="1">
      <c r="A1229" s="118"/>
      <c r="B1229" s="94" t="s">
        <v>88</v>
      </c>
      <c r="C1229" s="93"/>
      <c r="D1229" s="69">
        <v>1</v>
      </c>
      <c r="E1229" s="68">
        <f>3.4+0.3</f>
        <v>3.6999999999999997</v>
      </c>
      <c r="F1229" s="68">
        <f>3.4+0.3</f>
        <v>3.6999999999999997</v>
      </c>
      <c r="G1229" s="68">
        <f>1.6+0.45</f>
        <v>2.0500000000000003</v>
      </c>
      <c r="H1229" s="68">
        <f t="shared" ref="H1229:H1230" si="75">PRODUCT(D1229:G1229)</f>
        <v>28.064499999999999</v>
      </c>
      <c r="I1229" s="68"/>
      <c r="J1229" s="114"/>
      <c r="K1229" s="117"/>
      <c r="M1229" s="134"/>
      <c r="N1229" s="134"/>
      <c r="O1229" s="133"/>
    </row>
    <row r="1230" spans="1:15" ht="12.75" customHeight="1">
      <c r="A1230" s="118"/>
      <c r="B1230" s="94" t="s">
        <v>89</v>
      </c>
      <c r="C1230" s="93"/>
      <c r="D1230" s="69">
        <v>-1</v>
      </c>
      <c r="E1230" s="68">
        <v>2.2999999999999998</v>
      </c>
      <c r="F1230" s="68">
        <v>2.2999999999999998</v>
      </c>
      <c r="G1230" s="68">
        <f>1.6+0.45</f>
        <v>2.0500000000000003</v>
      </c>
      <c r="H1230" s="68">
        <f t="shared" si="75"/>
        <v>-10.8445</v>
      </c>
      <c r="I1230" s="68"/>
      <c r="J1230" s="114"/>
      <c r="K1230" s="117"/>
      <c r="M1230" s="134"/>
      <c r="N1230" s="134"/>
      <c r="O1230" s="133"/>
    </row>
    <row r="1231" spans="1:15" ht="12.75" customHeight="1">
      <c r="A1231" s="118"/>
      <c r="B1231" s="119" t="s">
        <v>149</v>
      </c>
      <c r="C1231" s="93"/>
      <c r="D1231" s="69"/>
      <c r="E1231" s="68"/>
      <c r="F1231" s="68"/>
      <c r="G1231" s="68"/>
      <c r="H1231" s="68"/>
      <c r="I1231" s="68"/>
      <c r="J1231" s="114"/>
      <c r="K1231" s="117"/>
      <c r="M1231" s="134"/>
      <c r="N1231" s="134"/>
      <c r="O1231" s="133"/>
    </row>
    <row r="1232" spans="1:15" ht="12.75" customHeight="1">
      <c r="A1232" s="118"/>
      <c r="B1232" s="94" t="s">
        <v>88</v>
      </c>
      <c r="C1232" s="93"/>
      <c r="D1232" s="69">
        <v>1</v>
      </c>
      <c r="E1232" s="68">
        <f>2.9+0.3</f>
        <v>3.1999999999999997</v>
      </c>
      <c r="F1232" s="68">
        <f>2.9+0.3</f>
        <v>3.1999999999999997</v>
      </c>
      <c r="G1232" s="68">
        <f>2.3+0.55</f>
        <v>2.8499999999999996</v>
      </c>
      <c r="H1232" s="68">
        <f t="shared" ref="H1232:H1233" si="76">PRODUCT(D1232:G1232)</f>
        <v>29.18399999999999</v>
      </c>
      <c r="I1232" s="68"/>
      <c r="J1232" s="114"/>
      <c r="K1232" s="117"/>
      <c r="M1232" s="134"/>
      <c r="N1232" s="134"/>
      <c r="O1232" s="133"/>
    </row>
    <row r="1233" spans="1:15" ht="12.75" customHeight="1">
      <c r="A1233" s="115"/>
      <c r="B1233" s="111" t="s">
        <v>89</v>
      </c>
      <c r="C1233" s="140"/>
      <c r="D1233" s="71">
        <v>-1</v>
      </c>
      <c r="E1233" s="70">
        <v>2.15</v>
      </c>
      <c r="F1233" s="70">
        <v>2.15</v>
      </c>
      <c r="G1233" s="70">
        <f>2.3+0.55</f>
        <v>2.8499999999999996</v>
      </c>
      <c r="H1233" s="70">
        <f t="shared" si="76"/>
        <v>-13.174124999999997</v>
      </c>
      <c r="I1233" s="70"/>
      <c r="J1233" s="141"/>
      <c r="K1233" s="113"/>
      <c r="M1233" s="134"/>
      <c r="N1233" s="134"/>
      <c r="O1233" s="133"/>
    </row>
    <row r="1234" spans="1:15" ht="12.75" customHeight="1">
      <c r="A1234" s="152"/>
      <c r="B1234" s="156"/>
      <c r="C1234" s="153"/>
      <c r="D1234" s="49"/>
      <c r="E1234" s="48"/>
      <c r="F1234" s="48"/>
      <c r="G1234" s="48"/>
      <c r="H1234" s="48"/>
      <c r="I1234" s="48"/>
      <c r="J1234" s="154"/>
      <c r="K1234" s="155"/>
      <c r="M1234" s="134"/>
      <c r="N1234" s="134"/>
      <c r="O1234" s="133"/>
    </row>
    <row r="1235" spans="1:15" ht="12.75" customHeight="1" thickBot="1">
      <c r="A1235" s="272"/>
      <c r="B1235" s="273"/>
      <c r="C1235" s="274"/>
      <c r="D1235" s="275"/>
      <c r="E1235" s="276"/>
      <c r="F1235" s="276"/>
      <c r="G1235" s="276"/>
      <c r="H1235" s="276"/>
      <c r="I1235" s="276"/>
      <c r="J1235" s="277"/>
      <c r="K1235" s="278"/>
      <c r="M1235" s="134"/>
      <c r="N1235" s="134"/>
      <c r="O1235" s="133"/>
    </row>
    <row r="1236" spans="1:15" ht="12.75" customHeight="1" thickTop="1">
      <c r="A1236" s="91"/>
      <c r="B1236" s="90"/>
      <c r="C1236" s="90"/>
      <c r="D1236" s="90"/>
      <c r="E1236" s="90"/>
      <c r="F1236" s="90"/>
      <c r="G1236" s="90"/>
      <c r="H1236" s="90"/>
      <c r="I1236" s="90"/>
      <c r="J1236" s="90"/>
      <c r="K1236" s="89"/>
      <c r="M1236" s="134"/>
      <c r="N1236" s="134"/>
      <c r="O1236" s="133"/>
    </row>
    <row r="1237" spans="1:15" ht="17.25" customHeight="1">
      <c r="A1237" s="569" t="s">
        <v>29</v>
      </c>
      <c r="B1237" s="570"/>
      <c r="C1237" s="570"/>
      <c r="D1237" s="570"/>
      <c r="E1237" s="570"/>
      <c r="F1237" s="570"/>
      <c r="G1237" s="570"/>
      <c r="H1237" s="570"/>
      <c r="I1237" s="570"/>
      <c r="J1237" s="570"/>
      <c r="K1237" s="571"/>
      <c r="M1237" s="134"/>
      <c r="N1237" s="134"/>
      <c r="O1237" s="133"/>
    </row>
    <row r="1238" spans="1:15" ht="16.5" customHeight="1">
      <c r="A1238" s="572" t="s">
        <v>69</v>
      </c>
      <c r="B1238" s="573"/>
      <c r="C1238" s="573"/>
      <c r="D1238" s="573"/>
      <c r="E1238" s="573"/>
      <c r="F1238" s="573"/>
      <c r="G1238" s="573"/>
      <c r="H1238" s="573"/>
      <c r="I1238" s="573"/>
      <c r="J1238" s="573"/>
      <c r="K1238" s="574"/>
      <c r="M1238" s="134"/>
      <c r="N1238" s="134"/>
      <c r="O1238" s="133"/>
    </row>
    <row r="1239" spans="1:15" ht="12.75" customHeight="1">
      <c r="A1239" s="88"/>
      <c r="B1239" s="85"/>
      <c r="C1239" s="85"/>
      <c r="D1239" s="85"/>
      <c r="E1239" s="85"/>
      <c r="F1239" s="85"/>
      <c r="G1239" s="85"/>
      <c r="H1239" s="85"/>
      <c r="I1239" s="85"/>
      <c r="J1239" s="85"/>
      <c r="K1239" s="87"/>
      <c r="M1239" s="134"/>
      <c r="N1239" s="134"/>
      <c r="O1239" s="133"/>
    </row>
    <row r="1240" spans="1:15" ht="6.75" customHeight="1">
      <c r="A1240" s="55"/>
      <c r="B1240" s="86"/>
      <c r="C1240" s="86"/>
      <c r="D1240" s="86"/>
      <c r="E1240" s="86"/>
      <c r="F1240" s="86"/>
      <c r="G1240" s="86"/>
      <c r="H1240" s="86"/>
      <c r="I1240" s="86"/>
      <c r="J1240" s="86"/>
      <c r="K1240" s="81"/>
      <c r="M1240" s="134"/>
      <c r="N1240" s="134"/>
      <c r="O1240" s="133"/>
    </row>
    <row r="1241" spans="1:15" ht="16.5" customHeight="1">
      <c r="A1241" s="575" t="s">
        <v>68</v>
      </c>
      <c r="B1241" s="576"/>
      <c r="C1241" s="576"/>
      <c r="D1241" s="576"/>
      <c r="E1241" s="576"/>
      <c r="F1241" s="576"/>
      <c r="G1241" s="576"/>
      <c r="H1241" s="576"/>
      <c r="I1241" s="576"/>
      <c r="J1241" s="576"/>
      <c r="K1241" s="577"/>
      <c r="M1241" s="134"/>
      <c r="N1241" s="134"/>
      <c r="O1241" s="133"/>
    </row>
    <row r="1242" spans="1:15" ht="7.5" customHeight="1">
      <c r="A1242" s="55"/>
      <c r="B1242" s="86"/>
      <c r="C1242" s="86"/>
      <c r="D1242" s="86"/>
      <c r="E1242" s="86"/>
      <c r="F1242" s="86"/>
      <c r="G1242" s="86"/>
      <c r="H1242" s="86"/>
      <c r="I1242" s="86"/>
      <c r="J1242" s="85"/>
      <c r="K1242" s="81"/>
      <c r="M1242" s="134"/>
      <c r="N1242" s="134"/>
      <c r="O1242" s="133"/>
    </row>
    <row r="1243" spans="1:15" ht="12.75" customHeight="1">
      <c r="A1243" s="84"/>
      <c r="B1243" s="83" t="s">
        <v>11</v>
      </c>
      <c r="C1243" s="578" t="s">
        <v>361</v>
      </c>
      <c r="D1243" s="579"/>
      <c r="E1243" s="579"/>
      <c r="F1243" s="579"/>
      <c r="G1243" s="579"/>
      <c r="H1243" s="579"/>
      <c r="I1243" s="579"/>
      <c r="J1243" s="580"/>
      <c r="K1243" s="81"/>
      <c r="M1243" s="134"/>
      <c r="N1243" s="134"/>
      <c r="O1243" s="133"/>
    </row>
    <row r="1244" spans="1:15" ht="6.75" customHeight="1">
      <c r="A1244" s="80"/>
      <c r="K1244" s="81"/>
      <c r="M1244" s="134"/>
      <c r="N1244" s="134"/>
      <c r="O1244" s="133"/>
    </row>
    <row r="1245" spans="1:15" ht="12.75" customHeight="1">
      <c r="A1245" s="80"/>
      <c r="B1245" s="82" t="s">
        <v>67</v>
      </c>
      <c r="C1245" s="581" t="s">
        <v>66</v>
      </c>
      <c r="D1245" s="582"/>
      <c r="E1245" s="582"/>
      <c r="F1245" s="582"/>
      <c r="G1245" s="582"/>
      <c r="H1245" s="582"/>
      <c r="I1245" s="582"/>
      <c r="J1245" s="583"/>
      <c r="K1245" s="81"/>
      <c r="M1245" s="134"/>
      <c r="N1245" s="134"/>
      <c r="O1245" s="133"/>
    </row>
    <row r="1246" spans="1:15" ht="6.75" customHeight="1">
      <c r="A1246" s="80"/>
      <c r="B1246" s="79"/>
      <c r="D1246" s="78"/>
      <c r="E1246" s="78"/>
      <c r="F1246" s="78"/>
      <c r="G1246" s="78"/>
      <c r="H1246" s="78"/>
      <c r="I1246" s="78"/>
      <c r="K1246" s="77"/>
      <c r="M1246" s="134"/>
      <c r="N1246" s="134"/>
      <c r="O1246" s="133"/>
    </row>
    <row r="1247" spans="1:15" ht="12.75" customHeight="1">
      <c r="A1247" s="584" t="s">
        <v>84</v>
      </c>
      <c r="B1247" s="585" t="s">
        <v>83</v>
      </c>
      <c r="C1247" s="585" t="s">
        <v>82</v>
      </c>
      <c r="D1247" s="585" t="s">
        <v>81</v>
      </c>
      <c r="E1247" s="564" t="s">
        <v>80</v>
      </c>
      <c r="F1247" s="564"/>
      <c r="G1247" s="564"/>
      <c r="H1247" s="564" t="s">
        <v>79</v>
      </c>
      <c r="I1247" s="564"/>
      <c r="J1247" s="564"/>
      <c r="K1247" s="565" t="s">
        <v>58</v>
      </c>
      <c r="M1247" s="134"/>
      <c r="N1247" s="134"/>
      <c r="O1247" s="133"/>
    </row>
    <row r="1248" spans="1:15" ht="12.75" customHeight="1">
      <c r="A1248" s="584"/>
      <c r="B1248" s="585"/>
      <c r="C1248" s="585"/>
      <c r="D1248" s="585"/>
      <c r="E1248" s="125" t="s">
        <v>78</v>
      </c>
      <c r="F1248" s="125" t="s">
        <v>77</v>
      </c>
      <c r="G1248" s="125" t="s">
        <v>76</v>
      </c>
      <c r="H1248" s="125" t="s">
        <v>75</v>
      </c>
      <c r="I1248" s="125" t="s">
        <v>74</v>
      </c>
      <c r="J1248" s="125" t="s">
        <v>73</v>
      </c>
      <c r="K1248" s="565"/>
      <c r="M1248" s="134"/>
      <c r="N1248" s="134"/>
      <c r="O1248" s="133"/>
    </row>
    <row r="1249" spans="1:15" ht="12.75" customHeight="1">
      <c r="A1249" s="584"/>
      <c r="B1249" s="585"/>
      <c r="C1249" s="585"/>
      <c r="D1249" s="585"/>
      <c r="E1249" s="125" t="s">
        <v>70</v>
      </c>
      <c r="F1249" s="125" t="s">
        <v>70</v>
      </c>
      <c r="G1249" s="125" t="s">
        <v>70</v>
      </c>
      <c r="H1249" s="125" t="s">
        <v>72</v>
      </c>
      <c r="I1249" s="125" t="s">
        <v>71</v>
      </c>
      <c r="J1249" s="125" t="s">
        <v>70</v>
      </c>
      <c r="K1249" s="565"/>
      <c r="M1249" s="134"/>
      <c r="N1249" s="134"/>
      <c r="O1249" s="133"/>
    </row>
    <row r="1250" spans="1:15" ht="12" customHeight="1">
      <c r="A1250" s="118"/>
      <c r="B1250" s="119" t="s">
        <v>150</v>
      </c>
      <c r="C1250" s="93"/>
      <c r="D1250" s="69"/>
      <c r="E1250" s="68"/>
      <c r="F1250" s="68"/>
      <c r="G1250" s="68"/>
      <c r="H1250" s="68"/>
      <c r="I1250" s="68"/>
      <c r="J1250" s="114"/>
      <c r="K1250" s="117"/>
      <c r="M1250" s="134"/>
      <c r="N1250" s="134"/>
      <c r="O1250" s="133"/>
    </row>
    <row r="1251" spans="1:15" ht="12" customHeight="1">
      <c r="A1251" s="118"/>
      <c r="B1251" s="94" t="s">
        <v>88</v>
      </c>
      <c r="C1251" s="93"/>
      <c r="D1251" s="69">
        <v>1</v>
      </c>
      <c r="E1251" s="68">
        <f>3.3+0.3</f>
        <v>3.5999999999999996</v>
      </c>
      <c r="F1251" s="68">
        <f>3.3+0.3</f>
        <v>3.5999999999999996</v>
      </c>
      <c r="G1251" s="68">
        <f>1.7+0.7</f>
        <v>2.4</v>
      </c>
      <c r="H1251" s="68">
        <f t="shared" ref="H1251:H1252" si="77">PRODUCT(D1251:G1251)</f>
        <v>31.103999999999992</v>
      </c>
      <c r="I1251" s="68"/>
      <c r="J1251" s="114"/>
      <c r="K1251" s="117"/>
      <c r="M1251" s="134"/>
      <c r="N1251" s="134"/>
      <c r="O1251" s="133"/>
    </row>
    <row r="1252" spans="1:15" ht="12" customHeight="1">
      <c r="A1252" s="118"/>
      <c r="B1252" s="94" t="s">
        <v>89</v>
      </c>
      <c r="C1252" s="93"/>
      <c r="D1252" s="69">
        <v>-1</v>
      </c>
      <c r="E1252" s="68">
        <v>2.75</v>
      </c>
      <c r="F1252" s="68">
        <v>2.75</v>
      </c>
      <c r="G1252" s="68">
        <f>1.7+0.7</f>
        <v>2.4</v>
      </c>
      <c r="H1252" s="68">
        <f t="shared" si="77"/>
        <v>-18.149999999999999</v>
      </c>
      <c r="I1252" s="68"/>
      <c r="J1252" s="114"/>
      <c r="K1252" s="117"/>
      <c r="M1252" s="134"/>
      <c r="N1252" s="134"/>
      <c r="O1252" s="133"/>
    </row>
    <row r="1253" spans="1:15" ht="12" customHeight="1">
      <c r="A1253" s="118"/>
      <c r="B1253" s="119" t="s">
        <v>151</v>
      </c>
      <c r="C1253" s="93"/>
      <c r="D1253" s="69"/>
      <c r="E1253" s="68"/>
      <c r="F1253" s="68"/>
      <c r="G1253" s="68"/>
      <c r="H1253" s="68"/>
      <c r="I1253" s="68"/>
      <c r="J1253" s="114"/>
      <c r="K1253" s="117"/>
      <c r="M1253" s="134"/>
      <c r="N1253" s="134"/>
      <c r="O1253" s="133"/>
    </row>
    <row r="1254" spans="1:15" ht="12" customHeight="1">
      <c r="A1254" s="118"/>
      <c r="B1254" s="94" t="s">
        <v>88</v>
      </c>
      <c r="C1254" s="93"/>
      <c r="D1254" s="69">
        <v>1</v>
      </c>
      <c r="E1254" s="68">
        <f>2.8+0.3</f>
        <v>3.0999999999999996</v>
      </c>
      <c r="F1254" s="68">
        <f>2.8+0.3</f>
        <v>3.0999999999999996</v>
      </c>
      <c r="G1254" s="68">
        <f>1.6+0.5</f>
        <v>2.1</v>
      </c>
      <c r="H1254" s="68">
        <f t="shared" ref="H1254:H1255" si="78">PRODUCT(D1254:G1254)</f>
        <v>20.180999999999997</v>
      </c>
      <c r="I1254" s="68"/>
      <c r="J1254" s="114"/>
      <c r="K1254" s="117"/>
      <c r="M1254" s="134"/>
      <c r="N1254" s="134"/>
      <c r="O1254" s="133"/>
    </row>
    <row r="1255" spans="1:15" ht="12" customHeight="1">
      <c r="A1255" s="115"/>
      <c r="B1255" s="111" t="s">
        <v>89</v>
      </c>
      <c r="C1255" s="140"/>
      <c r="D1255" s="71">
        <v>-1</v>
      </c>
      <c r="E1255" s="70">
        <v>2.1</v>
      </c>
      <c r="F1255" s="70">
        <v>2.1</v>
      </c>
      <c r="G1255" s="70">
        <f>1.6+0.5</f>
        <v>2.1</v>
      </c>
      <c r="H1255" s="70">
        <f t="shared" si="78"/>
        <v>-9.261000000000001</v>
      </c>
      <c r="I1255" s="70"/>
      <c r="J1255" s="141"/>
      <c r="K1255" s="113"/>
      <c r="M1255" s="134"/>
      <c r="N1255" s="134"/>
      <c r="O1255" s="133"/>
    </row>
    <row r="1256" spans="1:15" ht="12" customHeight="1">
      <c r="A1256" s="108"/>
      <c r="B1256" s="105" t="s">
        <v>152</v>
      </c>
      <c r="C1256" s="104"/>
      <c r="D1256" s="73"/>
      <c r="E1256" s="72"/>
      <c r="F1256" s="72"/>
      <c r="G1256" s="72"/>
      <c r="H1256" s="72"/>
      <c r="I1256" s="72"/>
      <c r="J1256" s="124"/>
      <c r="K1256" s="107"/>
      <c r="M1256" s="134"/>
      <c r="N1256" s="134"/>
      <c r="O1256" s="133"/>
    </row>
    <row r="1257" spans="1:15" ht="12" customHeight="1">
      <c r="A1257" s="118"/>
      <c r="B1257" s="94" t="s">
        <v>88</v>
      </c>
      <c r="C1257" s="93"/>
      <c r="D1257" s="69">
        <v>1</v>
      </c>
      <c r="E1257" s="68">
        <f>2.9+0.3</f>
        <v>3.1999999999999997</v>
      </c>
      <c r="F1257" s="68">
        <f>2.9+0.3</f>
        <v>3.1999999999999997</v>
      </c>
      <c r="G1257" s="68">
        <f>1.7+0.55</f>
        <v>2.25</v>
      </c>
      <c r="H1257" s="68">
        <f t="shared" ref="H1257:H1258" si="79">PRODUCT(D1257:G1257)</f>
        <v>23.039999999999996</v>
      </c>
      <c r="I1257" s="68"/>
      <c r="J1257" s="114"/>
      <c r="K1257" s="117"/>
      <c r="M1257" s="134"/>
      <c r="N1257" s="134"/>
      <c r="O1257" s="133"/>
    </row>
    <row r="1258" spans="1:15" ht="12" customHeight="1">
      <c r="A1258" s="118"/>
      <c r="B1258" s="94" t="s">
        <v>89</v>
      </c>
      <c r="C1258" s="93"/>
      <c r="D1258" s="69">
        <v>-1</v>
      </c>
      <c r="E1258" s="68">
        <v>2.15</v>
      </c>
      <c r="F1258" s="68">
        <v>2.15</v>
      </c>
      <c r="G1258" s="68">
        <f>1.7+0.55</f>
        <v>2.25</v>
      </c>
      <c r="H1258" s="68">
        <f t="shared" si="79"/>
        <v>-10.400625</v>
      </c>
      <c r="I1258" s="68"/>
      <c r="J1258" s="114"/>
      <c r="K1258" s="117"/>
      <c r="M1258" s="134"/>
      <c r="N1258" s="134"/>
      <c r="O1258" s="133"/>
    </row>
    <row r="1259" spans="1:15" ht="12" customHeight="1">
      <c r="A1259" s="118"/>
      <c r="B1259" s="119" t="s">
        <v>153</v>
      </c>
      <c r="C1259" s="93"/>
      <c r="D1259" s="69"/>
      <c r="E1259" s="68"/>
      <c r="F1259" s="68"/>
      <c r="G1259" s="68"/>
      <c r="H1259" s="68"/>
      <c r="I1259" s="68"/>
      <c r="J1259" s="114"/>
      <c r="K1259" s="117"/>
      <c r="M1259" s="134"/>
      <c r="N1259" s="134"/>
      <c r="O1259" s="133"/>
    </row>
    <row r="1260" spans="1:15" ht="12" customHeight="1">
      <c r="A1260" s="118"/>
      <c r="B1260" s="94" t="s">
        <v>88</v>
      </c>
      <c r="C1260" s="93"/>
      <c r="D1260" s="69">
        <v>1</v>
      </c>
      <c r="E1260" s="68">
        <f>3.3+0.3</f>
        <v>3.5999999999999996</v>
      </c>
      <c r="F1260" s="68">
        <f>3.3+0.3</f>
        <v>3.5999999999999996</v>
      </c>
      <c r="G1260" s="68">
        <f>1.7+0.7</f>
        <v>2.4</v>
      </c>
      <c r="H1260" s="68">
        <f t="shared" ref="H1260:H1261" si="80">PRODUCT(D1260:G1260)</f>
        <v>31.103999999999992</v>
      </c>
      <c r="I1260" s="68"/>
      <c r="J1260" s="114"/>
      <c r="K1260" s="117"/>
      <c r="M1260" s="134"/>
      <c r="N1260" s="134"/>
      <c r="O1260" s="133"/>
    </row>
    <row r="1261" spans="1:15" ht="12" customHeight="1">
      <c r="A1261" s="115"/>
      <c r="B1261" s="111" t="s">
        <v>89</v>
      </c>
      <c r="C1261" s="140"/>
      <c r="D1261" s="71">
        <v>-1</v>
      </c>
      <c r="E1261" s="70">
        <v>2.75</v>
      </c>
      <c r="F1261" s="70">
        <v>2.75</v>
      </c>
      <c r="G1261" s="70">
        <f>1.7+0.7</f>
        <v>2.4</v>
      </c>
      <c r="H1261" s="70">
        <f t="shared" si="80"/>
        <v>-18.149999999999999</v>
      </c>
      <c r="I1261" s="70"/>
      <c r="J1261" s="141"/>
      <c r="K1261" s="113"/>
      <c r="M1261" s="134"/>
      <c r="N1261" s="134"/>
      <c r="O1261" s="133"/>
    </row>
    <row r="1262" spans="1:15" ht="12" customHeight="1">
      <c r="A1262" s="66">
        <v>36</v>
      </c>
      <c r="B1262" s="65" t="s">
        <v>111</v>
      </c>
      <c r="C1262" s="64" t="s">
        <v>51</v>
      </c>
      <c r="D1262" s="76"/>
      <c r="E1262" s="75"/>
      <c r="F1262" s="75"/>
      <c r="G1262" s="75"/>
      <c r="H1262" s="75"/>
      <c r="I1262" s="75"/>
      <c r="J1262" s="74"/>
      <c r="K1262" s="63">
        <f>SUM(D1263:D1263)</f>
        <v>24</v>
      </c>
      <c r="M1262" s="134"/>
      <c r="N1262" s="134"/>
      <c r="O1262" s="133"/>
    </row>
    <row r="1263" spans="1:15" ht="12" customHeight="1">
      <c r="A1263" s="103"/>
      <c r="B1263" s="151" t="s">
        <v>127</v>
      </c>
      <c r="C1263" s="122"/>
      <c r="D1263" s="62">
        <v>24</v>
      </c>
      <c r="E1263" s="61"/>
      <c r="F1263" s="61"/>
      <c r="G1263" s="61"/>
      <c r="H1263" s="61"/>
      <c r="I1263" s="61"/>
      <c r="J1263" s="121"/>
      <c r="K1263" s="120"/>
      <c r="M1263" s="134"/>
      <c r="N1263" s="134"/>
      <c r="O1263" s="133"/>
    </row>
    <row r="1264" spans="1:15" ht="12" customHeight="1">
      <c r="A1264" s="66">
        <v>37</v>
      </c>
      <c r="B1264" s="65" t="s">
        <v>115</v>
      </c>
      <c r="C1264" s="64" t="s">
        <v>48</v>
      </c>
      <c r="D1264" s="76"/>
      <c r="E1264" s="75"/>
      <c r="F1264" s="75"/>
      <c r="G1264" s="75"/>
      <c r="H1264" s="75"/>
      <c r="I1264" s="75"/>
      <c r="J1264" s="74"/>
      <c r="K1264" s="63">
        <f>SUM(H1265:H1275)</f>
        <v>222.86624999999998</v>
      </c>
      <c r="M1264" s="134"/>
      <c r="N1264" s="134"/>
      <c r="O1264" s="133"/>
    </row>
    <row r="1265" spans="1:20" ht="12" customHeight="1">
      <c r="A1265" s="108"/>
      <c r="B1265" s="105" t="s">
        <v>92</v>
      </c>
      <c r="C1265" s="104"/>
      <c r="D1265" s="73">
        <v>2</v>
      </c>
      <c r="E1265" s="72">
        <v>2.7</v>
      </c>
      <c r="F1265" s="72">
        <v>2.7</v>
      </c>
      <c r="G1265" s="72">
        <v>1.5</v>
      </c>
      <c r="H1265" s="72">
        <f>PRODUCT(D1265:G1265)</f>
        <v>21.870000000000005</v>
      </c>
      <c r="I1265" s="72"/>
      <c r="J1265" s="124"/>
      <c r="K1265" s="107"/>
      <c r="M1265" s="134"/>
      <c r="N1265" s="134"/>
      <c r="O1265" s="133"/>
    </row>
    <row r="1266" spans="1:20" ht="12" customHeight="1">
      <c r="A1266" s="118"/>
      <c r="B1266" s="119" t="s">
        <v>93</v>
      </c>
      <c r="C1266" s="93"/>
      <c r="D1266" s="69">
        <v>1</v>
      </c>
      <c r="E1266" s="68">
        <v>3.2</v>
      </c>
      <c r="F1266" s="68">
        <v>3.2</v>
      </c>
      <c r="G1266" s="68">
        <v>1.5</v>
      </c>
      <c r="H1266" s="68">
        <f t="shared" ref="H1266:H1275" si="81">PRODUCT(D1266:G1266)</f>
        <v>15.360000000000003</v>
      </c>
      <c r="I1266" s="68"/>
      <c r="J1266" s="114"/>
      <c r="K1266" s="117"/>
      <c r="M1266" s="134"/>
      <c r="N1266" s="134"/>
      <c r="O1266" s="133"/>
    </row>
    <row r="1267" spans="1:20" ht="12" customHeight="1">
      <c r="A1267" s="118"/>
      <c r="B1267" s="119" t="s">
        <v>94</v>
      </c>
      <c r="C1267" s="93"/>
      <c r="D1267" s="69">
        <v>2</v>
      </c>
      <c r="E1267" s="68">
        <v>2.7</v>
      </c>
      <c r="F1267" s="68">
        <v>2.7</v>
      </c>
      <c r="G1267" s="68">
        <v>1.5</v>
      </c>
      <c r="H1267" s="68">
        <f t="shared" si="81"/>
        <v>21.870000000000005</v>
      </c>
      <c r="I1267" s="68"/>
      <c r="J1267" s="114"/>
      <c r="K1267" s="117"/>
      <c r="M1267" s="134"/>
      <c r="N1267" s="134"/>
      <c r="O1267" s="133"/>
    </row>
    <row r="1268" spans="1:20" ht="12" customHeight="1">
      <c r="A1268" s="118"/>
      <c r="B1268" s="119" t="s">
        <v>95</v>
      </c>
      <c r="C1268" s="93"/>
      <c r="D1268" s="69">
        <v>2</v>
      </c>
      <c r="E1268" s="68">
        <v>3.3</v>
      </c>
      <c r="F1268" s="68">
        <v>3.3</v>
      </c>
      <c r="G1268" s="68">
        <v>1.5</v>
      </c>
      <c r="H1268" s="68">
        <f t="shared" si="81"/>
        <v>32.669999999999995</v>
      </c>
      <c r="I1268" s="68"/>
      <c r="J1268" s="114"/>
      <c r="K1268" s="117"/>
      <c r="M1268" s="134"/>
      <c r="N1268" s="134"/>
      <c r="O1268" s="133"/>
    </row>
    <row r="1269" spans="1:20" ht="12" customHeight="1">
      <c r="A1269" s="118"/>
      <c r="B1269" s="119" t="s">
        <v>96</v>
      </c>
      <c r="C1269" s="93"/>
      <c r="D1269" s="69">
        <v>2</v>
      </c>
      <c r="E1269" s="68">
        <v>3.2</v>
      </c>
      <c r="F1269" s="68">
        <v>3.2</v>
      </c>
      <c r="G1269" s="68">
        <v>1.5</v>
      </c>
      <c r="H1269" s="68">
        <f t="shared" si="81"/>
        <v>30.720000000000006</v>
      </c>
      <c r="I1269" s="68"/>
      <c r="J1269" s="114"/>
      <c r="K1269" s="117"/>
      <c r="M1269" s="134"/>
      <c r="N1269" s="134"/>
      <c r="O1269" s="133"/>
    </row>
    <row r="1270" spans="1:20" ht="12" customHeight="1">
      <c r="A1270" s="118"/>
      <c r="B1270" s="119" t="s">
        <v>97</v>
      </c>
      <c r="C1270" s="93"/>
      <c r="D1270" s="69">
        <v>4</v>
      </c>
      <c r="E1270" s="68">
        <v>1.4</v>
      </c>
      <c r="F1270" s="68">
        <v>1.4</v>
      </c>
      <c r="G1270" s="68">
        <v>1.5</v>
      </c>
      <c r="H1270" s="68">
        <f t="shared" si="81"/>
        <v>11.759999999999998</v>
      </c>
      <c r="I1270" s="68"/>
      <c r="J1270" s="114"/>
      <c r="K1270" s="117"/>
      <c r="M1270" s="134"/>
      <c r="N1270" s="134"/>
      <c r="O1270" s="133"/>
    </row>
    <row r="1271" spans="1:20" ht="12" customHeight="1">
      <c r="A1271" s="118"/>
      <c r="B1271" s="119" t="s">
        <v>98</v>
      </c>
      <c r="C1271" s="93"/>
      <c r="D1271" s="69">
        <v>1</v>
      </c>
      <c r="E1271" s="68">
        <v>2.2000000000000002</v>
      </c>
      <c r="F1271" s="68">
        <v>2.2000000000000002</v>
      </c>
      <c r="G1271" s="68">
        <v>1.5</v>
      </c>
      <c r="H1271" s="68">
        <f t="shared" si="81"/>
        <v>7.2600000000000016</v>
      </c>
      <c r="I1271" s="68"/>
      <c r="J1271" s="114"/>
      <c r="K1271" s="117"/>
      <c r="M1271" s="134"/>
      <c r="N1271" s="134"/>
      <c r="O1271" s="133"/>
    </row>
    <row r="1272" spans="1:20" ht="12" customHeight="1">
      <c r="A1272" s="118"/>
      <c r="B1272" s="119" t="s">
        <v>99</v>
      </c>
      <c r="C1272" s="93"/>
      <c r="D1272" s="69">
        <v>1</v>
      </c>
      <c r="E1272" s="68">
        <v>2.5</v>
      </c>
      <c r="F1272" s="68">
        <v>2.5</v>
      </c>
      <c r="G1272" s="68">
        <v>1.5</v>
      </c>
      <c r="H1272" s="68">
        <f t="shared" si="81"/>
        <v>9.375</v>
      </c>
      <c r="I1272" s="68"/>
      <c r="J1272" s="114"/>
      <c r="K1272" s="117"/>
      <c r="M1272" s="134"/>
      <c r="N1272" s="134"/>
      <c r="O1272" s="133"/>
    </row>
    <row r="1273" spans="1:20" ht="12" customHeight="1">
      <c r="A1273" s="118"/>
      <c r="B1273" s="119" t="s">
        <v>100</v>
      </c>
      <c r="C1273" s="93"/>
      <c r="D1273" s="69">
        <v>2</v>
      </c>
      <c r="E1273" s="68">
        <v>2.8</v>
      </c>
      <c r="F1273" s="68">
        <v>2.8</v>
      </c>
      <c r="G1273" s="68">
        <v>1.5</v>
      </c>
      <c r="H1273" s="68">
        <f t="shared" si="81"/>
        <v>23.519999999999996</v>
      </c>
      <c r="I1273" s="68"/>
      <c r="J1273" s="114"/>
      <c r="K1273" s="117"/>
      <c r="M1273" s="134"/>
      <c r="N1273" s="134"/>
      <c r="O1273" s="133"/>
    </row>
    <row r="1274" spans="1:20" ht="12" customHeight="1">
      <c r="A1274" s="118"/>
      <c r="B1274" s="119" t="s">
        <v>101</v>
      </c>
      <c r="C1274" s="93"/>
      <c r="D1274" s="69">
        <v>2</v>
      </c>
      <c r="E1274" s="68">
        <v>3.4</v>
      </c>
      <c r="F1274" s="68">
        <v>3.4</v>
      </c>
      <c r="G1274" s="68">
        <v>1.5</v>
      </c>
      <c r="H1274" s="68">
        <f t="shared" si="81"/>
        <v>34.679999999999993</v>
      </c>
      <c r="I1274" s="68"/>
      <c r="J1274" s="114"/>
      <c r="K1274" s="117"/>
      <c r="M1274" s="134"/>
      <c r="N1274" s="134"/>
      <c r="O1274" s="133"/>
    </row>
    <row r="1275" spans="1:20" ht="12" customHeight="1">
      <c r="A1275" s="115"/>
      <c r="B1275" s="142" t="s">
        <v>102</v>
      </c>
      <c r="C1275" s="140"/>
      <c r="D1275" s="71">
        <v>3</v>
      </c>
      <c r="E1275" s="70">
        <v>1.75</v>
      </c>
      <c r="F1275" s="70">
        <v>1.75</v>
      </c>
      <c r="G1275" s="70">
        <v>1.5</v>
      </c>
      <c r="H1275" s="70">
        <f t="shared" si="81"/>
        <v>13.78125</v>
      </c>
      <c r="I1275" s="70"/>
      <c r="J1275" s="141"/>
      <c r="K1275" s="113"/>
      <c r="M1275" s="134"/>
      <c r="N1275" s="134"/>
      <c r="O1275" s="133"/>
    </row>
    <row r="1276" spans="1:20" ht="12" customHeight="1">
      <c r="A1276" s="152"/>
      <c r="B1276" s="156"/>
      <c r="C1276" s="153"/>
      <c r="D1276" s="49"/>
      <c r="E1276" s="48"/>
      <c r="F1276" s="48"/>
      <c r="G1276" s="48"/>
      <c r="H1276" s="48"/>
      <c r="I1276" s="48"/>
      <c r="J1276" s="154"/>
      <c r="K1276" s="155"/>
      <c r="M1276" s="134"/>
      <c r="N1276" s="134"/>
      <c r="O1276" s="133"/>
    </row>
    <row r="1277" spans="1:20" ht="12" customHeight="1">
      <c r="A1277" s="55"/>
      <c r="B1277" s="54"/>
      <c r="C1277" s="594" t="s">
        <v>65</v>
      </c>
      <c r="D1277" s="594"/>
      <c r="E1277" s="52"/>
      <c r="G1277" s="60" t="s">
        <v>64</v>
      </c>
      <c r="H1277" s="60"/>
      <c r="J1277" s="59"/>
      <c r="K1277" s="56"/>
      <c r="M1277" s="48"/>
      <c r="N1277" s="48"/>
      <c r="O1277" s="49"/>
      <c r="P1277" s="48"/>
      <c r="Q1277" s="48"/>
      <c r="R1277" s="48"/>
      <c r="S1277" s="48"/>
      <c r="T1277" s="48"/>
    </row>
    <row r="1278" spans="1:20" ht="12" customHeight="1">
      <c r="A1278" s="55"/>
      <c r="B1278" s="54"/>
      <c r="C1278" s="52"/>
      <c r="D1278" s="52"/>
      <c r="E1278" s="52"/>
      <c r="G1278" s="60"/>
      <c r="H1278" s="60"/>
      <c r="J1278" s="59"/>
      <c r="K1278" s="56"/>
      <c r="M1278" s="48"/>
      <c r="N1278" s="48"/>
      <c r="O1278" s="49"/>
      <c r="P1278" s="48"/>
      <c r="Q1278" s="48"/>
      <c r="R1278" s="48"/>
      <c r="S1278" s="48"/>
      <c r="T1278" s="48"/>
    </row>
    <row r="1279" spans="1:20" ht="12" customHeight="1">
      <c r="A1279" s="55"/>
      <c r="B1279" s="54"/>
      <c r="C1279" s="52"/>
      <c r="D1279" s="52"/>
      <c r="E1279" s="52"/>
      <c r="G1279" s="60"/>
      <c r="H1279" s="60"/>
      <c r="J1279" s="59"/>
      <c r="K1279" s="56"/>
      <c r="M1279" s="48"/>
      <c r="N1279" s="48"/>
      <c r="O1279" s="49"/>
      <c r="P1279" s="48"/>
      <c r="Q1279" s="48"/>
      <c r="R1279" s="48"/>
      <c r="S1279" s="48"/>
      <c r="T1279" s="48"/>
    </row>
    <row r="1280" spans="1:20" ht="12" customHeight="1">
      <c r="A1280" s="55"/>
      <c r="B1280" s="127"/>
      <c r="C1280" s="52"/>
      <c r="D1280" s="52"/>
      <c r="E1280" s="52"/>
      <c r="G1280" s="60"/>
      <c r="H1280" s="60"/>
      <c r="J1280" s="59"/>
      <c r="K1280" s="56"/>
      <c r="M1280" s="48"/>
      <c r="N1280" s="48"/>
      <c r="O1280" s="49"/>
      <c r="P1280" s="48"/>
      <c r="Q1280" s="48"/>
      <c r="R1280" s="48"/>
      <c r="S1280" s="48"/>
      <c r="T1280" s="48"/>
    </row>
    <row r="1281" spans="1:20" ht="12" customHeight="1">
      <c r="A1281" s="55"/>
      <c r="B1281" s="52"/>
      <c r="C1281" s="52"/>
      <c r="D1281" s="52"/>
      <c r="E1281" s="52"/>
      <c r="G1281" s="52"/>
      <c r="H1281" s="52"/>
      <c r="J1281" s="52"/>
      <c r="K1281" s="56"/>
      <c r="M1281" s="48"/>
      <c r="N1281" s="48"/>
      <c r="O1281" s="49"/>
      <c r="P1281" s="48"/>
      <c r="Q1281" s="48"/>
      <c r="R1281" s="48"/>
      <c r="S1281" s="48"/>
      <c r="T1281" s="48"/>
    </row>
    <row r="1282" spans="1:20" ht="12" customHeight="1">
      <c r="A1282" s="55"/>
      <c r="B1282" s="54" t="s">
        <v>63</v>
      </c>
      <c r="C1282" s="595"/>
      <c r="D1282" s="595"/>
      <c r="E1282" s="54"/>
      <c r="G1282" s="53"/>
      <c r="H1282" s="52"/>
      <c r="J1282" s="126" t="s">
        <v>0</v>
      </c>
      <c r="K1282" s="51"/>
    </row>
    <row r="1283" spans="1:20" ht="12" customHeight="1">
      <c r="A1283" s="55"/>
      <c r="B1283" s="54" t="s">
        <v>62</v>
      </c>
      <c r="C1283" s="593" t="s">
        <v>86</v>
      </c>
      <c r="D1283" s="593"/>
      <c r="E1283" s="593"/>
      <c r="G1283" s="54"/>
      <c r="H1283" s="57"/>
      <c r="J1283" s="126"/>
      <c r="K1283" s="56"/>
    </row>
    <row r="1284" spans="1:20" ht="12" customHeight="1">
      <c r="A1284" s="55"/>
      <c r="B1284" s="54"/>
      <c r="C1284" s="252"/>
      <c r="D1284" s="252"/>
      <c r="E1284" s="252"/>
      <c r="G1284" s="54"/>
      <c r="H1284" s="52"/>
      <c r="J1284" s="126"/>
      <c r="K1284" s="56"/>
    </row>
    <row r="1285" spans="1:20" ht="12" customHeight="1">
      <c r="A1285" s="55"/>
      <c r="B1285" s="54"/>
      <c r="C1285" s="52"/>
      <c r="D1285" s="52"/>
      <c r="E1285" s="54"/>
      <c r="G1285" s="126"/>
      <c r="H1285" s="52"/>
      <c r="J1285" s="126"/>
      <c r="K1285" s="56"/>
    </row>
    <row r="1286" spans="1:20" ht="12" customHeight="1">
      <c r="A1286" s="55"/>
      <c r="B1286" s="54"/>
      <c r="C1286" s="52"/>
      <c r="D1286" s="52"/>
      <c r="E1286" s="54"/>
      <c r="G1286" s="126"/>
      <c r="H1286" s="52"/>
      <c r="J1286" s="126"/>
      <c r="K1286" s="56"/>
    </row>
    <row r="1287" spans="1:20" ht="12" customHeight="1">
      <c r="A1287" s="55"/>
      <c r="B1287" s="54"/>
      <c r="C1287" s="287"/>
      <c r="D1287" s="287"/>
      <c r="E1287" s="54"/>
      <c r="G1287" s="54"/>
      <c r="H1287" s="52"/>
      <c r="J1287" s="126"/>
      <c r="K1287" s="56"/>
    </row>
    <row r="1288" spans="1:20" ht="12" customHeight="1">
      <c r="A1288" s="55"/>
      <c r="B1288" s="54" t="s">
        <v>61</v>
      </c>
      <c r="C1288" s="592"/>
      <c r="D1288" s="592"/>
      <c r="E1288" s="54"/>
      <c r="G1288" s="53"/>
      <c r="H1288" s="52"/>
      <c r="J1288" s="126" t="s">
        <v>0</v>
      </c>
      <c r="K1288" s="51"/>
    </row>
    <row r="1289" spans="1:20" ht="12" customHeight="1">
      <c r="A1289" s="55"/>
      <c r="B1289" s="54" t="s">
        <v>23</v>
      </c>
      <c r="C1289" s="593" t="s">
        <v>60</v>
      </c>
      <c r="D1289" s="593"/>
      <c r="E1289" s="593"/>
      <c r="G1289" s="58"/>
      <c r="H1289" s="57"/>
      <c r="J1289" s="126"/>
      <c r="K1289" s="56"/>
    </row>
    <row r="1290" spans="1:20" ht="12" customHeight="1">
      <c r="A1290" s="55"/>
      <c r="B1290" s="54"/>
      <c r="C1290" s="252"/>
      <c r="D1290" s="252"/>
      <c r="E1290" s="252"/>
      <c r="G1290" s="54"/>
      <c r="H1290" s="52"/>
      <c r="J1290" s="126"/>
      <c r="K1290" s="56"/>
    </row>
    <row r="1291" spans="1:20" ht="12" customHeight="1">
      <c r="A1291" s="55"/>
      <c r="B1291" s="54"/>
      <c r="C1291" s="252"/>
      <c r="D1291" s="252"/>
      <c r="E1291" s="252"/>
      <c r="G1291" s="54"/>
      <c r="H1291" s="52"/>
      <c r="J1291" s="126"/>
      <c r="K1291" s="56"/>
    </row>
    <row r="1292" spans="1:20" ht="12" customHeight="1">
      <c r="A1292" s="55"/>
      <c r="B1292" s="54"/>
      <c r="C1292" s="52"/>
      <c r="D1292" s="52"/>
      <c r="E1292" s="54"/>
      <c r="G1292" s="126"/>
      <c r="H1292" s="52"/>
      <c r="J1292" s="126"/>
      <c r="K1292" s="56"/>
    </row>
    <row r="1293" spans="1:20" ht="12" customHeight="1">
      <c r="A1293" s="55"/>
      <c r="B1293" s="54"/>
      <c r="C1293" s="287"/>
      <c r="D1293" s="287"/>
      <c r="E1293" s="54"/>
      <c r="G1293" s="54"/>
      <c r="H1293" s="52"/>
      <c r="J1293" s="126"/>
      <c r="K1293" s="56"/>
    </row>
    <row r="1294" spans="1:20" ht="12" customHeight="1">
      <c r="A1294" s="55"/>
      <c r="B1294" s="54" t="s">
        <v>44</v>
      </c>
      <c r="C1294" s="592"/>
      <c r="D1294" s="592"/>
      <c r="E1294" s="288"/>
      <c r="G1294" s="53"/>
      <c r="H1294" s="52"/>
      <c r="J1294" s="126" t="s">
        <v>0</v>
      </c>
      <c r="K1294" s="51"/>
    </row>
    <row r="1295" spans="1:20" ht="12" customHeight="1">
      <c r="A1295" s="55"/>
      <c r="B1295" s="54" t="s">
        <v>25</v>
      </c>
      <c r="C1295" s="593" t="s">
        <v>59</v>
      </c>
      <c r="D1295" s="593"/>
      <c r="E1295" s="593"/>
      <c r="G1295" s="54"/>
      <c r="H1295" s="57"/>
      <c r="J1295" s="126"/>
      <c r="K1295" s="56"/>
    </row>
    <row r="1296" spans="1:20" ht="12" customHeight="1">
      <c r="A1296" s="55"/>
      <c r="B1296" s="54"/>
      <c r="C1296" s="252"/>
      <c r="D1296" s="252"/>
      <c r="E1296" s="252"/>
      <c r="G1296" s="54"/>
      <c r="H1296" s="52"/>
      <c r="J1296" s="126"/>
      <c r="K1296" s="56"/>
    </row>
    <row r="1297" spans="1:11" ht="12" customHeight="1" thickBot="1">
      <c r="A1297" s="157"/>
      <c r="B1297" s="50"/>
      <c r="C1297" s="50"/>
      <c r="D1297" s="50"/>
      <c r="E1297" s="50"/>
      <c r="F1297" s="50"/>
      <c r="G1297" s="50"/>
      <c r="H1297" s="50"/>
      <c r="I1297" s="50"/>
      <c r="J1297" s="50"/>
      <c r="K1297" s="158"/>
    </row>
    <row r="1298" spans="1:11" ht="14.25" thickTop="1"/>
  </sheetData>
  <mergeCells count="278">
    <mergeCell ref="C1294:D1294"/>
    <mergeCell ref="C1295:E1295"/>
    <mergeCell ref="K1247:K1249"/>
    <mergeCell ref="C1277:D1277"/>
    <mergeCell ref="C1282:D1282"/>
    <mergeCell ref="C1283:E1283"/>
    <mergeCell ref="C1288:D1288"/>
    <mergeCell ref="C1289:E1289"/>
    <mergeCell ref="A1247:A1249"/>
    <mergeCell ref="B1247:B1249"/>
    <mergeCell ref="C1247:C1249"/>
    <mergeCell ref="D1247:D1249"/>
    <mergeCell ref="E1247:G1247"/>
    <mergeCell ref="H1247:J1247"/>
    <mergeCell ref="K1187:K1189"/>
    <mergeCell ref="A1237:K1237"/>
    <mergeCell ref="A1238:K1238"/>
    <mergeCell ref="A1241:K1241"/>
    <mergeCell ref="C1243:J1243"/>
    <mergeCell ref="C1245:J1245"/>
    <mergeCell ref="C1185:J1185"/>
    <mergeCell ref="A1187:A1189"/>
    <mergeCell ref="B1187:B1189"/>
    <mergeCell ref="C1187:C1189"/>
    <mergeCell ref="D1187:D1189"/>
    <mergeCell ref="E1187:G1187"/>
    <mergeCell ref="H1187:J1187"/>
    <mergeCell ref="K1132:K1134"/>
    <mergeCell ref="A1141:K1141"/>
    <mergeCell ref="A1177:K1177"/>
    <mergeCell ref="A1178:K1178"/>
    <mergeCell ref="A1181:K1181"/>
    <mergeCell ref="C1183:J1183"/>
    <mergeCell ref="A1132:A1134"/>
    <mergeCell ref="B1132:B1134"/>
    <mergeCell ref="C1132:C1134"/>
    <mergeCell ref="D1132:D1134"/>
    <mergeCell ref="E1132:G1132"/>
    <mergeCell ref="H1132:J1132"/>
    <mergeCell ref="K1108:K1110"/>
    <mergeCell ref="A1122:K1122"/>
    <mergeCell ref="A1123:K1123"/>
    <mergeCell ref="A1126:K1126"/>
    <mergeCell ref="C1128:J1128"/>
    <mergeCell ref="C1130:J1130"/>
    <mergeCell ref="A1108:A1110"/>
    <mergeCell ref="B1108:B1110"/>
    <mergeCell ref="C1108:C1110"/>
    <mergeCell ref="D1108:D1110"/>
    <mergeCell ref="E1108:G1108"/>
    <mergeCell ref="H1108:J1108"/>
    <mergeCell ref="K1049:K1051"/>
    <mergeCell ref="A1098:K1098"/>
    <mergeCell ref="A1099:K1099"/>
    <mergeCell ref="A1102:K1102"/>
    <mergeCell ref="C1104:J1104"/>
    <mergeCell ref="C1106:J1106"/>
    <mergeCell ref="A1049:A1051"/>
    <mergeCell ref="B1049:B1051"/>
    <mergeCell ref="C1049:C1051"/>
    <mergeCell ref="D1049:D1051"/>
    <mergeCell ref="E1049:G1049"/>
    <mergeCell ref="H1049:J1049"/>
    <mergeCell ref="K990:K992"/>
    <mergeCell ref="A1039:K1039"/>
    <mergeCell ref="A1040:K1040"/>
    <mergeCell ref="A1043:K1043"/>
    <mergeCell ref="C1045:J1045"/>
    <mergeCell ref="C1047:J1047"/>
    <mergeCell ref="A990:A992"/>
    <mergeCell ref="B990:B992"/>
    <mergeCell ref="C990:C992"/>
    <mergeCell ref="D990:D992"/>
    <mergeCell ref="E990:G990"/>
    <mergeCell ref="H990:J990"/>
    <mergeCell ref="K931:K933"/>
    <mergeCell ref="A980:K980"/>
    <mergeCell ref="A981:K981"/>
    <mergeCell ref="A984:K984"/>
    <mergeCell ref="C986:J986"/>
    <mergeCell ref="C988:J988"/>
    <mergeCell ref="A931:A933"/>
    <mergeCell ref="B931:B933"/>
    <mergeCell ref="C931:C933"/>
    <mergeCell ref="D931:D933"/>
    <mergeCell ref="E931:G931"/>
    <mergeCell ref="H931:J931"/>
    <mergeCell ref="K872:K874"/>
    <mergeCell ref="A921:K921"/>
    <mergeCell ref="A922:K922"/>
    <mergeCell ref="A925:K925"/>
    <mergeCell ref="C927:J927"/>
    <mergeCell ref="C929:J929"/>
    <mergeCell ref="A872:A874"/>
    <mergeCell ref="B872:B874"/>
    <mergeCell ref="C872:C874"/>
    <mergeCell ref="D872:D874"/>
    <mergeCell ref="E872:G872"/>
    <mergeCell ref="H872:J872"/>
    <mergeCell ref="K813:K815"/>
    <mergeCell ref="A862:K862"/>
    <mergeCell ref="A863:K863"/>
    <mergeCell ref="A866:K866"/>
    <mergeCell ref="C868:J868"/>
    <mergeCell ref="C870:J870"/>
    <mergeCell ref="A813:A815"/>
    <mergeCell ref="B813:B815"/>
    <mergeCell ref="C813:C815"/>
    <mergeCell ref="D813:D815"/>
    <mergeCell ref="E813:G813"/>
    <mergeCell ref="H813:J813"/>
    <mergeCell ref="H857:J857"/>
    <mergeCell ref="H858:J858"/>
    <mergeCell ref="K755:K757"/>
    <mergeCell ref="A803:K803"/>
    <mergeCell ref="A804:K804"/>
    <mergeCell ref="A807:K807"/>
    <mergeCell ref="C809:J809"/>
    <mergeCell ref="C811:J811"/>
    <mergeCell ref="A755:A757"/>
    <mergeCell ref="B755:B757"/>
    <mergeCell ref="C755:C757"/>
    <mergeCell ref="D755:D757"/>
    <mergeCell ref="E755:G755"/>
    <mergeCell ref="H755:J755"/>
    <mergeCell ref="K696:K698"/>
    <mergeCell ref="A745:K745"/>
    <mergeCell ref="A746:K746"/>
    <mergeCell ref="A749:K749"/>
    <mergeCell ref="C751:J751"/>
    <mergeCell ref="C753:J753"/>
    <mergeCell ref="A696:A698"/>
    <mergeCell ref="B696:B698"/>
    <mergeCell ref="C696:C698"/>
    <mergeCell ref="D696:D698"/>
    <mergeCell ref="E696:G696"/>
    <mergeCell ref="H696:J696"/>
    <mergeCell ref="K637:K639"/>
    <mergeCell ref="A686:K686"/>
    <mergeCell ref="A687:K687"/>
    <mergeCell ref="A690:K690"/>
    <mergeCell ref="C692:J692"/>
    <mergeCell ref="C694:J694"/>
    <mergeCell ref="A637:A639"/>
    <mergeCell ref="B637:B639"/>
    <mergeCell ref="C637:C639"/>
    <mergeCell ref="D637:D639"/>
    <mergeCell ref="E637:G637"/>
    <mergeCell ref="H637:J637"/>
    <mergeCell ref="K578:K580"/>
    <mergeCell ref="A627:K627"/>
    <mergeCell ref="A628:K628"/>
    <mergeCell ref="A631:K631"/>
    <mergeCell ref="C633:J633"/>
    <mergeCell ref="C635:J635"/>
    <mergeCell ref="A578:A580"/>
    <mergeCell ref="B578:B580"/>
    <mergeCell ref="C578:C580"/>
    <mergeCell ref="D578:D580"/>
    <mergeCell ref="E578:G578"/>
    <mergeCell ref="H578:J578"/>
    <mergeCell ref="K518:K520"/>
    <mergeCell ref="A568:K568"/>
    <mergeCell ref="A569:K569"/>
    <mergeCell ref="A572:K572"/>
    <mergeCell ref="C574:J574"/>
    <mergeCell ref="C576:J576"/>
    <mergeCell ref="A518:A520"/>
    <mergeCell ref="B518:B520"/>
    <mergeCell ref="C518:C520"/>
    <mergeCell ref="D518:D520"/>
    <mergeCell ref="E518:G518"/>
    <mergeCell ref="H518:J518"/>
    <mergeCell ref="H540:J540"/>
    <mergeCell ref="H541:J541"/>
    <mergeCell ref="K431:K433"/>
    <mergeCell ref="A508:K508"/>
    <mergeCell ref="A509:K509"/>
    <mergeCell ref="A512:K512"/>
    <mergeCell ref="C514:J514"/>
    <mergeCell ref="C516:J516"/>
    <mergeCell ref="A431:A433"/>
    <mergeCell ref="B431:B433"/>
    <mergeCell ref="C431:C433"/>
    <mergeCell ref="D431:D433"/>
    <mergeCell ref="E431:G431"/>
    <mergeCell ref="H431:J431"/>
    <mergeCell ref="K364:K366"/>
    <mergeCell ref="A421:K421"/>
    <mergeCell ref="A422:K422"/>
    <mergeCell ref="A425:K425"/>
    <mergeCell ref="C427:J427"/>
    <mergeCell ref="C429:J429"/>
    <mergeCell ref="A364:A366"/>
    <mergeCell ref="B364:B366"/>
    <mergeCell ref="C364:C366"/>
    <mergeCell ref="D364:D366"/>
    <mergeCell ref="E364:G364"/>
    <mergeCell ref="H364:J364"/>
    <mergeCell ref="K305:K307"/>
    <mergeCell ref="A354:K354"/>
    <mergeCell ref="A355:K355"/>
    <mergeCell ref="A358:K358"/>
    <mergeCell ref="C360:J360"/>
    <mergeCell ref="C362:J362"/>
    <mergeCell ref="A305:A307"/>
    <mergeCell ref="B305:B307"/>
    <mergeCell ref="C305:C307"/>
    <mergeCell ref="D305:D307"/>
    <mergeCell ref="E305:G305"/>
    <mergeCell ref="H305:J305"/>
    <mergeCell ref="K246:K248"/>
    <mergeCell ref="A295:K295"/>
    <mergeCell ref="A296:K296"/>
    <mergeCell ref="A299:K299"/>
    <mergeCell ref="C301:J301"/>
    <mergeCell ref="C303:J303"/>
    <mergeCell ref="A246:A248"/>
    <mergeCell ref="B246:B248"/>
    <mergeCell ref="C246:C248"/>
    <mergeCell ref="D246:D248"/>
    <mergeCell ref="E246:G246"/>
    <mergeCell ref="H246:J246"/>
    <mergeCell ref="K187:K189"/>
    <mergeCell ref="A236:K236"/>
    <mergeCell ref="A237:K237"/>
    <mergeCell ref="A240:K240"/>
    <mergeCell ref="C242:J242"/>
    <mergeCell ref="C244:J244"/>
    <mergeCell ref="C185:J185"/>
    <mergeCell ref="A187:A189"/>
    <mergeCell ref="B187:B189"/>
    <mergeCell ref="C187:C189"/>
    <mergeCell ref="D187:D189"/>
    <mergeCell ref="E187:G187"/>
    <mergeCell ref="H187:J187"/>
    <mergeCell ref="K129:K131"/>
    <mergeCell ref="M169:N169"/>
    <mergeCell ref="A177:K177"/>
    <mergeCell ref="A178:K178"/>
    <mergeCell ref="A181:K181"/>
    <mergeCell ref="C183:J183"/>
    <mergeCell ref="A129:A131"/>
    <mergeCell ref="B129:B131"/>
    <mergeCell ref="C129:C131"/>
    <mergeCell ref="D129:D131"/>
    <mergeCell ref="E129:G129"/>
    <mergeCell ref="H129:J129"/>
    <mergeCell ref="K70:K72"/>
    <mergeCell ref="A119:K119"/>
    <mergeCell ref="A120:K120"/>
    <mergeCell ref="A123:K123"/>
    <mergeCell ref="C125:J125"/>
    <mergeCell ref="C127:J127"/>
    <mergeCell ref="C66:J66"/>
    <mergeCell ref="C68:J68"/>
    <mergeCell ref="A70:A72"/>
    <mergeCell ref="B70:B72"/>
    <mergeCell ref="C70:C72"/>
    <mergeCell ref="D70:D72"/>
    <mergeCell ref="E70:G70"/>
    <mergeCell ref="H70:J70"/>
    <mergeCell ref="H12:J12"/>
    <mergeCell ref="K12:K14"/>
    <mergeCell ref="A15:K15"/>
    <mergeCell ref="A60:K60"/>
    <mergeCell ref="A61:K61"/>
    <mergeCell ref="A64:K64"/>
    <mergeCell ref="A2:K2"/>
    <mergeCell ref="A3:K3"/>
    <mergeCell ref="A6:K6"/>
    <mergeCell ref="C8:J8"/>
    <mergeCell ref="C10:J10"/>
    <mergeCell ref="A12:A14"/>
    <mergeCell ref="B12:B14"/>
    <mergeCell ref="C12:C14"/>
    <mergeCell ref="D12:D14"/>
    <mergeCell ref="E12:G12"/>
  </mergeCells>
  <printOptions horizontalCentered="1"/>
  <pageMargins left="0.39370078740157483" right="0.39370078740157483" top="0.74803149606299213" bottom="0.74803149606299213" header="0.31496062992125984" footer="0.31496062992125984"/>
  <pageSetup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formulario orden de cambio</vt:lpstr>
      <vt:lpstr>P.A.O. N° 3</vt:lpstr>
      <vt:lpstr>COMPUTOS MÉTRICOS</vt:lpstr>
      <vt:lpstr>'P.A.O. N° 3'!Títulos_a_imprimir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Memo</cp:lastModifiedBy>
  <cp:lastPrinted>2025-11-11T02:47:28Z</cp:lastPrinted>
  <dcterms:created xsi:type="dcterms:W3CDTF">2020-09-16T22:09:58Z</dcterms:created>
  <dcterms:modified xsi:type="dcterms:W3CDTF">2026-02-10T12:24:22Z</dcterms:modified>
</cp:coreProperties>
</file>